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7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8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9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0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1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12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13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14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15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charts/chart16.xml" ContentType="application/vnd.openxmlformats-officedocument.drawingml.chart+xml"/>
  <Override PartName="/xl/drawings/drawing36.xml" ContentType="application/vnd.openxmlformats-officedocument.drawingml.chartshapes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ellarsbs-my.sharepoint.com/personal/rsweeny_xraywireless_com/Documents/Documents/_CODING/_myDemos Projects and  Samples/Data Storytelling/"/>
    </mc:Choice>
  </mc:AlternateContent>
  <xr:revisionPtr revIDLastSave="1" documentId="8_{06F9130A-BF34-47AC-A0AA-71B6D263E47A}" xr6:coauthVersionLast="47" xr6:coauthVersionMax="47" xr10:uidLastSave="{806646CA-85CD-40BD-A4F3-216B1528726E}"/>
  <workbookProtection lockStructure="1"/>
  <bookViews>
    <workbookView xWindow="-90" yWindow="-11640" windowWidth="20640" windowHeight="11040" tabRatio="893" firstSheet="3" activeTab="3" xr2:uid="{040638B6-681A-4A72-9F87-3265B7C12396}"/>
  </bookViews>
  <sheets>
    <sheet name="DataSource_0" sheetId="63" r:id="rId1"/>
    <sheet name="DataSource_1" sheetId="37" r:id="rId2"/>
    <sheet name="Sheet1" sheetId="66" r:id="rId3"/>
    <sheet name="Chart_Home" sheetId="64" r:id="rId4"/>
    <sheet name="Cumulative_Savings_vs_Spend" sheetId="18" r:id="rId5"/>
    <sheet name="Net_Cumulative_Savings" sheetId="1" r:id="rId6"/>
    <sheet name="Wireless_Spend_and_Minutes" sheetId="3" r:id="rId7"/>
    <sheet name="YTD_Trending_Charges" sheetId="4" r:id="rId8"/>
    <sheet name="Monthly_Savings_vs_Baseline" sheetId="5" r:id="rId9"/>
    <sheet name="Wireless_Spend_and_Num_Devices" sheetId="15" r:id="rId10"/>
    <sheet name="NetSavings_vs_SourceMobileCost" sheetId="6" r:id="rId11"/>
    <sheet name="Total_Spend_and_Minutes" sheetId="7" r:id="rId12"/>
    <sheet name="MonthlySpend_vs_CumlSavings" sheetId="58" r:id="rId13"/>
    <sheet name="Monthly_Mins_Avg_Cost_perPhone" sheetId="9" r:id="rId14"/>
    <sheet name="Usage_Cost_Per_Minute" sheetId="11" r:id="rId15"/>
    <sheet name="Usage_Overview" sheetId="62" r:id="rId16"/>
    <sheet name="Monthly_Minutes_and_CPM" sheetId="12" r:id="rId17"/>
    <sheet name="Savings_vs_Minutes_of_Use" sheetId="13" r:id="rId18"/>
    <sheet name="Net_Savings_Mins_of_Use" sheetId="14" r:id="rId19"/>
    <sheet name="Cost_Per_Minute" sheetId="61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1" i="66" l="1"/>
  <c r="C110" i="66"/>
  <c r="C109" i="66"/>
  <c r="C108" i="66"/>
  <c r="C107" i="66"/>
  <c r="C106" i="66"/>
  <c r="C105" i="66"/>
  <c r="C104" i="66"/>
  <c r="C103" i="66"/>
  <c r="C102" i="66"/>
  <c r="C101" i="66"/>
  <c r="C100" i="66"/>
  <c r="C99" i="66"/>
  <c r="C98" i="66"/>
  <c r="C97" i="66"/>
  <c r="C96" i="66"/>
  <c r="AV40" i="37"/>
  <c r="AV40" i="63"/>
</calcChain>
</file>

<file path=xl/sharedStrings.xml><?xml version="1.0" encoding="utf-8"?>
<sst xmlns="http://schemas.openxmlformats.org/spreadsheetml/2006/main" count="192" uniqueCount="126">
  <si>
    <t>Month</t>
  </si>
  <si>
    <t>Cell Phone Growth Rate</t>
  </si>
  <si>
    <t>Monthly Wireless Spend</t>
  </si>
  <si>
    <t>Monthly Wireless Spend Growth Rate</t>
  </si>
  <si>
    <t>Monthly Minutes of Use</t>
  </si>
  <si>
    <t>Monthly Minutes Growth Rate</t>
  </si>
  <si>
    <t>Average Cost/ Phone</t>
  </si>
  <si>
    <t>Cumulative Monthly Savings</t>
  </si>
  <si>
    <t>MobileManager Cost per User</t>
  </si>
  <si>
    <t>Net Monthly Savings</t>
  </si>
  <si>
    <t>Net Cumulative Savings</t>
  </si>
  <si>
    <t>Monthly Mins. of Use</t>
  </si>
  <si>
    <t>Cell Talk Time Growth Rate/Mo.</t>
  </si>
  <si>
    <t>Cost Per Minute</t>
  </si>
  <si>
    <t>Usage Cost</t>
  </si>
  <si>
    <t>12 M Usg Cost Avg</t>
  </si>
  <si>
    <t>Usage Cost Per Min</t>
  </si>
  <si>
    <t>Usg Cost 12 Mo. Avg.</t>
  </si>
  <si>
    <t>Cumulative Wireless Spend</t>
  </si>
  <si>
    <t>Perc Avg Savings Per Month</t>
  </si>
  <si>
    <t>Monthly Savings as % of Spend</t>
  </si>
  <si>
    <t/>
  </si>
  <si>
    <t>Data</t>
  </si>
  <si>
    <t>Cost Per Minute2</t>
  </si>
  <si>
    <t>Num of Users</t>
  </si>
  <si>
    <t>$0.01 - $0.14</t>
  </si>
  <si>
    <t>$0.15 - $0.19</t>
  </si>
  <si>
    <t>$0.20 - $0.24</t>
  </si>
  <si>
    <t>$0.25 - $0.29</t>
  </si>
  <si>
    <t>$0.30 - $0.39</t>
  </si>
  <si>
    <t>$0.40 - $0.49</t>
  </si>
  <si>
    <t>$0.50 - $0.99</t>
  </si>
  <si>
    <t>$1.00 - $5.00</t>
  </si>
  <si>
    <t>Greater than $5.00</t>
  </si>
  <si>
    <t>Grand Total</t>
  </si>
  <si>
    <t>CPM</t>
  </si>
  <si>
    <t>Users</t>
  </si>
  <si>
    <t>19¢ and Less</t>
  </si>
  <si>
    <t>20¢ to 99¢</t>
  </si>
  <si>
    <t>Average Savings/ Phone/ Month</t>
  </si>
  <si>
    <t>Monthly Savings /Phone</t>
  </si>
  <si>
    <t>Non Usage Cost</t>
  </si>
  <si>
    <t>Monthly Savings vs. Baseline</t>
  </si>
  <si>
    <t>Plan Charge</t>
  </si>
  <si>
    <t>Overage Cost</t>
  </si>
  <si>
    <t>Overage Time</t>
  </si>
  <si>
    <t>SourceMobile Data Table</t>
  </si>
  <si>
    <t xml:space="preserve">
</t>
  </si>
  <si>
    <t>No. of Devices</t>
  </si>
  <si>
    <t>Long Distance Cost</t>
  </si>
  <si>
    <t>Long Distance Time</t>
  </si>
  <si>
    <t>Roamng Time</t>
  </si>
  <si>
    <t>Roaming Charge</t>
  </si>
  <si>
    <t>Two Way Radio Time</t>
  </si>
  <si>
    <t>International Calling Charge</t>
  </si>
  <si>
    <t>Cumulative Savings As % of Spend</t>
  </si>
  <si>
    <t>Cost Per Minute Distribution</t>
  </si>
  <si>
    <t>Wireless Spend &amp; Minutes</t>
  </si>
  <si>
    <t>Year-To-Date Trending</t>
  </si>
  <si>
    <t>Monthly Savings 
vs. Baseline</t>
  </si>
  <si>
    <t>Wireless Spend &amp; 
No. of Devices</t>
  </si>
  <si>
    <t>Total Spend &amp; Minutes</t>
  </si>
  <si>
    <t>Monthly Spend vs. Cum. Savings</t>
  </si>
  <si>
    <t>Monthly Min. &amp; 
Avg Cost/Phone</t>
  </si>
  <si>
    <t>Usage Overview</t>
  </si>
  <si>
    <t>Monthly Min. &amp; Cost Per Min.</t>
  </si>
  <si>
    <t>Savings vs Minutes of Use Comp</t>
  </si>
  <si>
    <t>Net Savings &amp; Minutes of Use</t>
  </si>
  <si>
    <t>Charts</t>
  </si>
  <si>
    <t>Chart Codes</t>
  </si>
  <si>
    <t>CSS</t>
  </si>
  <si>
    <t>YTDTC</t>
  </si>
  <si>
    <t>NCS</t>
  </si>
  <si>
    <t>WSM</t>
  </si>
  <si>
    <t>MSB</t>
  </si>
  <si>
    <t>NSSC</t>
  </si>
  <si>
    <t>TSM</t>
  </si>
  <si>
    <t>MSC</t>
  </si>
  <si>
    <t>MMACP</t>
  </si>
  <si>
    <t>UCPM</t>
  </si>
  <si>
    <t>MMC</t>
  </si>
  <si>
    <t>SMU</t>
  </si>
  <si>
    <t>WSND</t>
  </si>
  <si>
    <t>UO</t>
  </si>
  <si>
    <t>Cumulative_Savings_vs_Spend</t>
  </si>
  <si>
    <t>YTD_Trending_Charges</t>
  </si>
  <si>
    <t>Net_Cumulative_Savings</t>
  </si>
  <si>
    <t>Wireless_Spend_and_Minutes</t>
  </si>
  <si>
    <t>Monthly_Savings_vs_Baseline</t>
  </si>
  <si>
    <t>NetSavings_vs_SourceMobile_Cost</t>
  </si>
  <si>
    <t>Total_Spend_and_Minutes</t>
  </si>
  <si>
    <t>MonthlySpend_vs_CumlSavings</t>
  </si>
  <si>
    <t>Monthly_Mins_Avg_Cost_perPhone</t>
  </si>
  <si>
    <t>Usage_Cost_Per_Minute</t>
  </si>
  <si>
    <t>Monthly_Minutes_and_CPM</t>
  </si>
  <si>
    <t>Savings_vs_Minutes_of_Use</t>
  </si>
  <si>
    <t>Wireless_Spend_and_Num_Devices</t>
  </si>
  <si>
    <t>Usage_Overview</t>
  </si>
  <si>
    <t>Cost_per_Minute</t>
  </si>
  <si>
    <t>mod_Buttons</t>
  </si>
  <si>
    <t xml:space="preserve">Net Savings vs. SourceMobile Cost </t>
  </si>
  <si>
    <t>Net Savings &amp; Mins of Use</t>
  </si>
  <si>
    <t>NSMU</t>
  </si>
  <si>
    <t>Worksheets &amp; Charts</t>
  </si>
  <si>
    <t>Index No: 1. Worksheet Chart_Components</t>
  </si>
  <si>
    <t>Index No: 2. Worksheet DataSource_0</t>
  </si>
  <si>
    <t>Index No: 3. Worksheet DataSource_1</t>
  </si>
  <si>
    <t>Index No: 4. Worksheet Sheet1</t>
  </si>
  <si>
    <t>Index No: 5. Worksheet Chart_Home</t>
  </si>
  <si>
    <t>Index No: 6. Chart Sheet: Cumulative_Savings_vs_Spend</t>
  </si>
  <si>
    <t>Index No: 7. Chart Sheet: Net_Cumulative_Savings</t>
  </si>
  <si>
    <t>Index No: 8. Chart Sheet: Cost_Per_Minute</t>
  </si>
  <si>
    <t>Index No: 9. Chart Sheet: Wireless_Spend_and_Minutes</t>
  </si>
  <si>
    <t>Index No: 10. Chart Sheet: YTD_Trending_Charges</t>
  </si>
  <si>
    <t>Index No: 11. Chart Sheet: Monthly_Savings_vs_Baseline</t>
  </si>
  <si>
    <t>Index No: 12. Chart Sheet: Wireless_Spend_and_Num_Devices</t>
  </si>
  <si>
    <t>Index No: 13. Chart Sheet: NetSavings_vs_SourceMobileCost</t>
  </si>
  <si>
    <t>Index No: 14. Chart Sheet: Total_Spend_and_Minutes</t>
  </si>
  <si>
    <t>Index No: 15. Chart Sheet: MonthlySpend_vs_CumlSavings</t>
  </si>
  <si>
    <t>Index No: 16. Chart Sheet: Monthly_Mins_Avg_Cost_perPhone</t>
  </si>
  <si>
    <t>Index No: 17. Chart Sheet: Usage_Cost_Per_Minute</t>
  </si>
  <si>
    <t>Index No: 18. Chart Sheet: Usage_Overview</t>
  </si>
  <si>
    <t>Index No: 19. Chart Sheet: Monthly_Minutes_and_CPM</t>
  </si>
  <si>
    <t>Index No: 20. Chart Sheet: Savings_vs_Minutes_of_Use</t>
  </si>
  <si>
    <t>Index No: 21. Chart Sheet: Net_Savings_Mins_of_Use</t>
  </si>
  <si>
    <t xml:space="preserve">Proprietary and Confidential
All objects and VBA code in this workbook are the property of its author, Richard Sweeny, (except where publicly available routines are used).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</si>
</sst>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.00"/>
    <numFmt numFmtId="166" formatCode="mmm\ yyyy"/>
    <numFmt numFmtId="167" formatCode="&quot;$&quot;#,##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20"/>
      <name val="Times New Roman"/>
      <family val="1"/>
    </font>
    <font>
      <sz val="10"/>
      <color theme="0"/>
      <name val="Arial"/>
      <family val="2"/>
    </font>
    <font>
      <b/>
      <sz val="10"/>
      <name val="Arial"/>
      <family val="2"/>
    </font>
    <font>
      <b/>
      <sz val="8"/>
      <color rgb="FF000000"/>
      <name val="Verdana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b/>
      <sz val="8"/>
      <color indexed="9"/>
      <name val="Verdana"/>
      <family val="2"/>
    </font>
    <font>
      <b/>
      <sz val="10"/>
      <color indexed="9"/>
      <name val="MS Sans Serif"/>
      <family val="2"/>
    </font>
    <font>
      <b/>
      <sz val="10"/>
      <color indexed="9"/>
      <name val="Arial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6"/>
      <color theme="0"/>
      <name val="Arial"/>
      <family val="2"/>
    </font>
    <font>
      <sz val="9"/>
      <color rgb="FF000000"/>
      <name val="Calibri"/>
      <family val="2"/>
    </font>
    <font>
      <u/>
      <sz val="9"/>
      <color rgb="FFFF0000"/>
      <name val="Calibri"/>
      <family val="2"/>
    </font>
    <font>
      <b/>
      <sz val="9"/>
      <color rgb="FF0066CC"/>
      <name val="Calibri"/>
      <family val="2"/>
    </font>
    <font>
      <b/>
      <sz val="12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336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1"/>
    <xf numFmtId="0" fontId="3" fillId="0" borderId="0" xfId="1" quotePrefix="1" applyFont="1"/>
    <xf numFmtId="0" fontId="3" fillId="0" borderId="0" xfId="1" applyFont="1"/>
    <xf numFmtId="0" fontId="1" fillId="0" borderId="0" xfId="2"/>
    <xf numFmtId="49" fontId="3" fillId="0" borderId="0" xfId="2" applyNumberFormat="1" applyFont="1" applyAlignment="1">
      <alignment horizontal="center"/>
    </xf>
    <xf numFmtId="0" fontId="1" fillId="0" borderId="0" xfId="2" applyAlignment="1">
      <alignment horizontal="right"/>
    </xf>
    <xf numFmtId="0" fontId="4" fillId="0" borderId="0" xfId="2" applyFont="1"/>
    <xf numFmtId="166" fontId="1" fillId="0" borderId="0" xfId="2" applyNumberFormat="1"/>
    <xf numFmtId="10" fontId="1" fillId="0" borderId="0" xfId="2" applyNumberFormat="1"/>
    <xf numFmtId="3" fontId="1" fillId="0" borderId="0" xfId="2" applyNumberFormat="1"/>
    <xf numFmtId="165" fontId="1" fillId="0" borderId="0" xfId="2" applyNumberFormat="1"/>
    <xf numFmtId="167" fontId="1" fillId="0" borderId="0" xfId="2" applyNumberFormat="1"/>
    <xf numFmtId="4" fontId="1" fillId="0" borderId="0" xfId="2" applyNumberFormat="1"/>
    <xf numFmtId="164" fontId="1" fillId="0" borderId="0" xfId="2" applyNumberFormat="1"/>
    <xf numFmtId="0" fontId="5" fillId="0" borderId="0" xfId="2" applyFont="1" applyAlignment="1">
      <alignment wrapText="1"/>
    </xf>
    <xf numFmtId="0" fontId="5" fillId="2" borderId="0" xfId="2" applyFont="1" applyFill="1" applyAlignment="1">
      <alignment wrapText="1"/>
    </xf>
    <xf numFmtId="0" fontId="1" fillId="0" borderId="0" xfId="2" applyAlignment="1">
      <alignment wrapText="1"/>
    </xf>
    <xf numFmtId="0" fontId="1" fillId="0" borderId="0" xfId="0" applyFont="1"/>
    <xf numFmtId="0" fontId="8" fillId="3" borderId="0" xfId="2" applyFont="1" applyFill="1"/>
    <xf numFmtId="0" fontId="9" fillId="4" borderId="0" xfId="2" applyFont="1" applyFill="1"/>
    <xf numFmtId="0" fontId="1" fillId="4" borderId="0" xfId="2" applyFill="1"/>
    <xf numFmtId="0" fontId="2" fillId="4" borderId="0" xfId="1" applyFill="1" applyAlignment="1">
      <alignment horizontal="center"/>
    </xf>
    <xf numFmtId="0" fontId="2" fillId="4" borderId="0" xfId="1" applyFill="1"/>
    <xf numFmtId="0" fontId="10" fillId="4" borderId="0" xfId="1" applyFont="1" applyFill="1" applyAlignment="1">
      <alignment horizontal="center" vertical="top" wrapText="1"/>
    </xf>
    <xf numFmtId="0" fontId="2" fillId="4" borderId="0" xfId="1" applyFill="1" applyAlignment="1">
      <alignment horizontal="center" vertical="top" wrapText="1"/>
    </xf>
    <xf numFmtId="0" fontId="2" fillId="0" borderId="0" xfId="1" applyAlignment="1">
      <alignment horizontal="center" vertical="top" wrapText="1"/>
    </xf>
    <xf numFmtId="0" fontId="11" fillId="4" borderId="0" xfId="1" applyFont="1" applyFill="1" applyAlignment="1">
      <alignment horizontal="center"/>
    </xf>
    <xf numFmtId="0" fontId="12" fillId="4" borderId="0" xfId="2" applyFont="1" applyFill="1" applyAlignment="1">
      <alignment horizontal="center" wrapText="1"/>
    </xf>
    <xf numFmtId="0" fontId="6" fillId="4" borderId="0" xfId="2" applyFont="1" applyFill="1" applyAlignment="1">
      <alignment horizontal="center" wrapText="1"/>
    </xf>
    <xf numFmtId="0" fontId="6" fillId="0" borderId="0" xfId="2" applyFont="1" applyAlignment="1">
      <alignment horizontal="center" wrapText="1"/>
    </xf>
    <xf numFmtId="0" fontId="9" fillId="0" borderId="0" xfId="2" applyFont="1"/>
    <xf numFmtId="0" fontId="13" fillId="0" borderId="0" xfId="0" applyFont="1" applyAlignment="1">
      <alignment horizontal="center" vertical="center"/>
    </xf>
    <xf numFmtId="0" fontId="14" fillId="5" borderId="0" xfId="0" applyFont="1" applyFill="1"/>
    <xf numFmtId="0" fontId="0" fillId="0" borderId="0" xfId="0" applyAlignment="1">
      <alignment wrapText="1"/>
    </xf>
    <xf numFmtId="0" fontId="16" fillId="3" borderId="0" xfId="2" applyFont="1" applyFill="1" applyAlignment="1">
      <alignment horizontal="center"/>
    </xf>
    <xf numFmtId="0" fontId="2" fillId="6" borderId="0" xfId="1" applyFill="1"/>
    <xf numFmtId="0" fontId="6" fillId="6" borderId="0" xfId="2" applyFont="1" applyFill="1" applyAlignment="1">
      <alignment horizontal="center" wrapText="1"/>
    </xf>
    <xf numFmtId="0" fontId="20" fillId="6" borderId="0" xfId="0" applyFont="1" applyFill="1" applyAlignment="1">
      <alignment horizontal="center" wrapText="1"/>
    </xf>
  </cellXfs>
  <cellStyles count="6">
    <cellStyle name="Comma 2" xfId="4" xr:uid="{2651244E-CF4B-4821-BD86-A19F46C17C9A}"/>
    <cellStyle name="Currency 2" xfId="5" xr:uid="{21D76956-14F8-475D-9875-DDE946A76E50}"/>
    <cellStyle name="Normal" xfId="0" builtinId="0"/>
    <cellStyle name="Normal 2" xfId="2" xr:uid="{8AED1D39-4C61-4ED4-9194-2EADCA69E732}"/>
    <cellStyle name="Normal__Svngs_By_Month" xfId="1" xr:uid="{4FD8CFB0-6A4D-40CF-959C-E44D5AE2402D}"/>
    <cellStyle name="Percent 2" xfId="3" xr:uid="{784BC04B-210C-4504-9100-56A74B913F9A}"/>
  </cellStyles>
  <dxfs count="1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6" formatCode="mmm\ yyyy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66" formatCode="mmm\ yyyy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general" vertical="bottom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B78BEB07-C019-4B2B-8BD3-F69831F1440B}"/>
  </tableStyles>
  <colors>
    <mruColors>
      <color rgb="FF003366"/>
      <color rgb="FFFF9999"/>
      <color rgb="FF00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chartsheet" Target="chartsheets/sheet9.xml"/><Relationship Id="rId18" Type="http://schemas.openxmlformats.org/officeDocument/2006/relationships/chartsheet" Target="chartsheets/sheet14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3.xml"/><Relationship Id="rId12" Type="http://schemas.openxmlformats.org/officeDocument/2006/relationships/chartsheet" Target="chartsheets/sheet8.xml"/><Relationship Id="rId17" Type="http://schemas.openxmlformats.org/officeDocument/2006/relationships/chartsheet" Target="chartsheets/sheet13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2.xml"/><Relationship Id="rId20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hartsheet" Target="chartsheets/sheet7.xml"/><Relationship Id="rId24" Type="http://schemas.openxmlformats.org/officeDocument/2006/relationships/calcChain" Target="calcChain.xml"/><Relationship Id="rId5" Type="http://schemas.openxmlformats.org/officeDocument/2006/relationships/chartsheet" Target="chartsheets/sheet1.xml"/><Relationship Id="rId15" Type="http://schemas.openxmlformats.org/officeDocument/2006/relationships/chartsheet" Target="chartsheets/sheet11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chartsheet" Target="chartsheets/sheet6.xml"/><Relationship Id="rId19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5.xml"/><Relationship Id="rId14" Type="http://schemas.openxmlformats.org/officeDocument/2006/relationships/chartsheet" Target="chartsheets/sheet10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9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Cumulative Savings as % of Total Spend</a:t>
            </a:r>
          </a:p>
        </c:rich>
      </c:tx>
      <c:layout>
        <c:manualLayout>
          <c:xMode val="edge"/>
          <c:yMode val="edge"/>
          <c:x val="0.23814541622760801"/>
          <c:y val="7.75740479548660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21412140903721"/>
          <c:y val="0.22340300757059278"/>
          <c:w val="0.75974710221285569"/>
          <c:h val="0.59726471657192537"/>
        </c:manualLayout>
      </c:layout>
      <c:areaChart>
        <c:grouping val="standard"/>
        <c:varyColors val="0"/>
        <c:ser>
          <c:idx val="0"/>
          <c:order val="1"/>
          <c:tx>
            <c:v>Monthly Wireless Spend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0000" mc:Ignorable="a14" a14:legacySpreadsheetColorIndex="10"/>
                </a:gs>
                <a:gs pos="100000">
                  <a:srgbClr xmlns:mc="http://schemas.openxmlformats.org/markup-compatibility/2006" xmlns:a14="http://schemas.microsoft.com/office/drawing/2010/main" val="760000" mc:Ignorable="a14" a14:legacySpreadsheetColorIndex="10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layout>
                <c:manualLayout>
                  <c:x val="1.4077425396296151E-3"/>
                  <c:y val="-0.237575747498046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4F-4172-8C81-EFA708298667}"/>
                </c:ext>
              </c:extLst>
            </c:dLbl>
            <c:dLbl>
              <c:idx val="1"/>
              <c:layout>
                <c:manualLayout>
                  <c:x val="-7.0387126981481017E-3"/>
                  <c:y val="-0.26397305277560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4F-4172-8C81-EFA708298667}"/>
                </c:ext>
              </c:extLst>
            </c:dLbl>
            <c:dLbl>
              <c:idx val="2"/>
              <c:layout>
                <c:manualLayout>
                  <c:x val="-2.8154850792592302E-3"/>
                  <c:y val="-0.1602693534709042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4F-4172-8C81-EFA708298667}"/>
                </c:ext>
              </c:extLst>
            </c:dLbl>
            <c:dLbl>
              <c:idx val="3"/>
              <c:layout>
                <c:manualLayout>
                  <c:x val="1.4077425396295635E-3"/>
                  <c:y val="-0.205521876803865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4F-4172-8C81-EFA708298667}"/>
                </c:ext>
              </c:extLst>
            </c:dLbl>
            <c:dLbl>
              <c:idx val="4"/>
              <c:layout>
                <c:manualLayout>
                  <c:x val="0"/>
                  <c:y val="-0.2168350076371056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4F-4172-8C81-EFA708298667}"/>
                </c:ext>
              </c:extLst>
            </c:dLbl>
            <c:dLbl>
              <c:idx val="5"/>
              <c:layout>
                <c:manualLayout>
                  <c:x val="1.4077425396295119E-3"/>
                  <c:y val="-0.2074073986094054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4F-4172-8C81-EFA708298667}"/>
                </c:ext>
              </c:extLst>
            </c:dLbl>
            <c:dLbl>
              <c:idx val="6"/>
              <c:layout>
                <c:manualLayout>
                  <c:x val="2.8154850792592302E-3"/>
                  <c:y val="-0.20363635499832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4F-4172-8C81-EFA708298667}"/>
                </c:ext>
              </c:extLst>
            </c:dLbl>
            <c:dLbl>
              <c:idx val="7"/>
              <c:layout>
                <c:manualLayout>
                  <c:x val="0"/>
                  <c:y val="-0.20363635499832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4F-4172-8C81-EFA708298667}"/>
                </c:ext>
              </c:extLst>
            </c:dLbl>
            <c:dLbl>
              <c:idx val="8"/>
              <c:layout>
                <c:manualLayout>
                  <c:x val="1.4077425396296151E-3"/>
                  <c:y val="-0.19986531138724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34F-4172-8C81-EFA708298667}"/>
                </c:ext>
              </c:extLst>
            </c:dLbl>
            <c:dLbl>
              <c:idx val="9"/>
              <c:layout>
                <c:manualLayout>
                  <c:x val="1.4077425396295119E-3"/>
                  <c:y val="-0.2074073986094054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4F-4172-8C81-EFA708298667}"/>
                </c:ext>
              </c:extLst>
            </c:dLbl>
            <c:dLbl>
              <c:idx val="10"/>
              <c:layout>
                <c:manualLayout>
                  <c:x val="-1.0323326034673901E-16"/>
                  <c:y val="-0.1998653113872452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4F-4172-8C81-EFA708298667}"/>
                </c:ext>
              </c:extLst>
            </c:dLbl>
            <c:dLbl>
              <c:idx val="11"/>
              <c:layout>
                <c:manualLayout>
                  <c:x val="-2.8154850792594366E-3"/>
                  <c:y val="-0.1942087459706251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4F-4172-8C81-EFA7082986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DataSource_1!$E$5:$E$16</c:f>
              <c:numCache>
                <c:formatCode>"$"#,##0</c:formatCode>
                <c:ptCount val="12"/>
                <c:pt idx="0">
                  <c:v>47592.65</c:v>
                </c:pt>
                <c:pt idx="1">
                  <c:v>55504.799999999996</c:v>
                </c:pt>
                <c:pt idx="2">
                  <c:v>32682.210000000003</c:v>
                </c:pt>
                <c:pt idx="3">
                  <c:v>35469.47</c:v>
                </c:pt>
                <c:pt idx="4">
                  <c:v>36712.839999999997</c:v>
                </c:pt>
                <c:pt idx="5">
                  <c:v>35893.999999999993</c:v>
                </c:pt>
                <c:pt idx="6">
                  <c:v>32710.1</c:v>
                </c:pt>
                <c:pt idx="7">
                  <c:v>33676.65</c:v>
                </c:pt>
                <c:pt idx="8">
                  <c:v>32969.08</c:v>
                </c:pt>
                <c:pt idx="9">
                  <c:v>33694.839999999997</c:v>
                </c:pt>
                <c:pt idx="10">
                  <c:v>34155.480000000003</c:v>
                </c:pt>
                <c:pt idx="11">
                  <c:v>31911.640000000003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5-4016-BBC4-5B9544EA9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30880"/>
        <c:axId val="182332416"/>
      </c:areaChart>
      <c:barChart>
        <c:barDir val="col"/>
        <c:grouping val="clustered"/>
        <c:varyColors val="0"/>
        <c:ser>
          <c:idx val="13"/>
          <c:order val="0"/>
          <c:tx>
            <c:v>Perc Avg Savings Per Month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3300" mc:Ignorable="a14" a14:legacySpreadsheetColorIndex="17">
                    <a:gamma/>
                    <a:shade val="4000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8000" mc:Ignorable="a14" a14:legacySpreadsheetColorIndex="17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725-4016-BBC4-5B9544EA990B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5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DataSource_1!$AI$5:$AI$16</c:f>
              <c:numCache>
                <c:formatCode>0.0%</c:formatCode>
                <c:ptCount val="12"/>
                <c:pt idx="0">
                  <c:v>5.5089763823468363E-2</c:v>
                </c:pt>
                <c:pt idx="1">
                  <c:v>0</c:v>
                </c:pt>
                <c:pt idx="2">
                  <c:v>0.46574325947473705</c:v>
                </c:pt>
                <c:pt idx="3">
                  <c:v>0.42442362658167876</c:v>
                </c:pt>
                <c:pt idx="4">
                  <c:v>0.46917493963124896</c:v>
                </c:pt>
                <c:pt idx="5">
                  <c:v>0.47928339233987666</c:v>
                </c:pt>
                <c:pt idx="6">
                  <c:v>0.43750390442917841</c:v>
                </c:pt>
                <c:pt idx="7">
                  <c:v>0.45629020874639997</c:v>
                </c:pt>
                <c:pt idx="8">
                  <c:v>0.43689076603157578</c:v>
                </c:pt>
                <c:pt idx="9">
                  <c:v>0.44121871426127901</c:v>
                </c:pt>
                <c:pt idx="10">
                  <c:v>0.45189229164967815</c:v>
                </c:pt>
                <c:pt idx="11">
                  <c:v>0.4551885237133888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25-4016-BBC4-5B9544EA9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82338304"/>
        <c:axId val="182339840"/>
      </c:barChart>
      <c:dateAx>
        <c:axId val="18233088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 yyyy" sourceLinked="1"/>
        <c:majorTickMark val="out"/>
        <c:minorTickMark val="none"/>
        <c:tickLblPos val="nextTo"/>
        <c:crossAx val="182332416"/>
        <c:crosses val="autoZero"/>
        <c:auto val="1"/>
        <c:lblOffset val="100"/>
        <c:baseTimeUnit val="months"/>
        <c:minorUnit val="1"/>
      </c:dateAx>
      <c:valAx>
        <c:axId val="182332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330880"/>
        <c:crosses val="autoZero"/>
        <c:crossBetween val="midCat"/>
      </c:valAx>
      <c:dateAx>
        <c:axId val="182338304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182339840"/>
        <c:crosses val="autoZero"/>
        <c:auto val="1"/>
        <c:lblOffset val="100"/>
        <c:baseTimeUnit val="months"/>
      </c:dateAx>
      <c:valAx>
        <c:axId val="182339840"/>
        <c:scaling>
          <c:orientation val="minMax"/>
        </c:scaling>
        <c:delete val="0"/>
        <c:axPos val="r"/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338304"/>
        <c:crosses val="max"/>
        <c:crossBetween val="midCat"/>
      </c:valAx>
      <c:dTable>
        <c:showHorzBorder val="1"/>
        <c:showVertBorder val="1"/>
        <c:showOutline val="1"/>
        <c:showKeys val="0"/>
        <c:spPr>
          <a:ln w="3175">
            <a:solidFill>
              <a:sysClr val="windowText" lastClr="000000"/>
            </a:solidFill>
          </a:ln>
        </c:spPr>
        <c:txPr>
          <a:bodyPr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003366" mc:Ignorable="a14" a14:legacySpreadsheetColorIndex="56"/>
            </a:gs>
          </a:gsLst>
          <a:lin ang="2700000" scaled="1"/>
        </a:gradFill>
        <a:ln w="25400">
          <a:noFill/>
        </a:ln>
      </c:spPr>
    </c:plotArea>
    <c:legend>
      <c:legendPos val="t"/>
      <c:layout>
        <c:manualLayout>
          <c:xMode val="edge"/>
          <c:yMode val="edge"/>
          <c:x val="0.24219600742046588"/>
          <c:y val="0.15432060640756726"/>
          <c:w val="0.51853586794975937"/>
          <c:h val="3.6345140164049307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2000" b="1" i="0" u="sng" strike="noStrike" baseline="0">
                <a:solidFill>
                  <a:srgbClr val="000000"/>
                </a:solidFill>
                <a:latin typeface="Arial"/>
                <a:cs typeface="Arial"/>
              </a:rPr>
              <a:t>Net Cumulative Savings</a:t>
            </a:r>
            <a:endParaRPr lang="en-US" sz="1200" b="1" i="0" u="sng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>
              <a:defRPr sz="2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325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(Since First Optimization)</a:t>
            </a:r>
          </a:p>
        </c:rich>
      </c:tx>
      <c:layout>
        <c:manualLayout>
          <c:xMode val="edge"/>
          <c:yMode val="edge"/>
          <c:x val="0.33299898704990699"/>
          <c:y val="5.26887519006059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45737211634905"/>
          <c:y val="0.19918144611186903"/>
          <c:w val="0.8114343029087262"/>
          <c:h val="0.6173854293263088"/>
        </c:manualLayout>
      </c:layout>
      <c:areaChart>
        <c:grouping val="standard"/>
        <c:varyColors val="0"/>
        <c:ser>
          <c:idx val="13"/>
          <c:order val="0"/>
          <c:tx>
            <c:v>Net Cumulative Savings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800000" mc:Ignorable="a14" a14:legacySpreadsheetColorIndex="16"/>
                </a:gs>
                <a:gs pos="100000">
                  <a:srgbClr xmlns:mc="http://schemas.openxmlformats.org/markup-compatibility/2006" xmlns:a14="http://schemas.microsoft.com/office/drawing/2010/main" val="008000" mc:Ignorable="a14" a14:legacySpreadsheetColorIndex="17"/>
                </a:gs>
              </a:gsLst>
              <a:lin ang="0" scaled="1"/>
            </a:gra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dLbls>
            <c:dLbl>
              <c:idx val="0"/>
              <c:layout>
                <c:manualLayout>
                  <c:x val="3.6258907957468132E-3"/>
                  <c:y val="5.56507789868695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59-44AE-96F1-EEE4ED46F629}"/>
                </c:ext>
              </c:extLst>
            </c:dLbl>
            <c:dLbl>
              <c:idx val="1"/>
              <c:layout>
                <c:manualLayout>
                  <c:x val="3.2079440421000603E-3"/>
                  <c:y val="5.07835701983364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59-44AE-96F1-EEE4ED46F629}"/>
                </c:ext>
              </c:extLst>
            </c:dLbl>
            <c:dLbl>
              <c:idx val="2"/>
              <c:layout>
                <c:manualLayout>
                  <c:x val="-2.5062062828895229E-5"/>
                  <c:y val="-4.85809942242894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59-44AE-96F1-EEE4ED46F629}"/>
                </c:ext>
              </c:extLst>
            </c:dLbl>
            <c:dLbl>
              <c:idx val="3"/>
              <c:layout>
                <c:manualLayout>
                  <c:x val="1.5630092376868303E-3"/>
                  <c:y val="-3.9852474102401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59-44AE-96F1-EEE4ED46F629}"/>
                </c:ext>
              </c:extLst>
            </c:dLbl>
            <c:dLbl>
              <c:idx val="4"/>
              <c:layout>
                <c:manualLayout>
                  <c:x val="-5.8760007055286383E-3"/>
                  <c:y val="-6.71645307638046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59-44AE-96F1-EEE4ED46F629}"/>
                </c:ext>
              </c:extLst>
            </c:dLbl>
            <c:dLbl>
              <c:idx val="5"/>
              <c:layout>
                <c:manualLayout>
                  <c:x val="-2.2016706286839597E-3"/>
                  <c:y val="-0.112981347999985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359-44AE-96F1-EEE4ED46F629}"/>
                </c:ext>
              </c:extLst>
            </c:dLbl>
            <c:dLbl>
              <c:idx val="6"/>
              <c:layout>
                <c:manualLayout>
                  <c:x val="-4.6255301337082512E-3"/>
                  <c:y val="-0.1459367715461214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59-44AE-96F1-EEE4ED46F629}"/>
                </c:ext>
              </c:extLst>
            </c:dLbl>
            <c:dLbl>
              <c:idx val="7"/>
              <c:layout>
                <c:manualLayout>
                  <c:x val="-5.0434768873549758E-3"/>
                  <c:y val="-0.166538834760252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59-44AE-96F1-EEE4ED46F629}"/>
                </c:ext>
              </c:extLst>
            </c:dLbl>
            <c:dLbl>
              <c:idx val="8"/>
              <c:layout>
                <c:manualLayout>
                  <c:x val="-5.4614236410018124E-3"/>
                  <c:y val="-0.198002671221349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59-44AE-96F1-EEE4ED46F629}"/>
                </c:ext>
              </c:extLst>
            </c:dLbl>
            <c:dLbl>
              <c:idx val="9"/>
              <c:layout>
                <c:manualLayout>
                  <c:x val="-4.8763613675673681E-3"/>
                  <c:y val="-0.2160969374053346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359-44AE-96F1-EEE4ED46F629}"/>
                </c:ext>
              </c:extLst>
            </c:dLbl>
            <c:dLbl>
              <c:idx val="10"/>
              <c:layout>
                <c:manualLayout>
                  <c:x val="-7.3002208725915481E-3"/>
                  <c:y val="-0.253148138201687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59-44AE-96F1-EEE4ED46F629}"/>
                </c:ext>
              </c:extLst>
            </c:dLbl>
            <c:dLbl>
              <c:idx val="11"/>
              <c:layout>
                <c:manualLayout>
                  <c:x val="-6.9710443666964037E-4"/>
                  <c:y val="-0.2725648379900670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59-44AE-96F1-EEE4ED46F629}"/>
                </c:ext>
              </c:extLst>
            </c:dLbl>
            <c:numFmt formatCode="\$#,##0_);[Red]\(\$#,##0\)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DataSource_1!$P$5:$P$16</c:f>
              <c:numCache>
                <c:formatCode>"$"#,##0</c:formatCode>
                <c:ptCount val="12"/>
                <c:pt idx="0">
                  <c:v>-2056.75</c:v>
                </c:pt>
                <c:pt idx="1">
                  <c:v>-4208.5</c:v>
                </c:pt>
                <c:pt idx="2">
                  <c:v>22097.519125509898</c:v>
                </c:pt>
                <c:pt idx="3">
                  <c:v>45977.062451936021</c:v>
                </c:pt>
                <c:pt idx="4">
                  <c:v>76146.066420825693</c:v>
                </c:pt>
                <c:pt idx="5">
                  <c:v>106913.49498229832</c:v>
                </c:pt>
                <c:pt idx="6">
                  <c:v>130032.33751414737</c:v>
                </c:pt>
                <c:pt idx="7">
                  <c:v>155971.58666437457</c:v>
                </c:pt>
                <c:pt idx="8">
                  <c:v>179218.5418126318</c:v>
                </c:pt>
                <c:pt idx="9">
                  <c:v>203563.28964540915</c:v>
                </c:pt>
                <c:pt idx="10">
                  <c:v>229424.07994656975</c:v>
                </c:pt>
                <c:pt idx="11">
                  <c:v>253810.91937221811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59-44AE-96F1-EEE4ED46F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3175">
              <a:solidFill>
                <a:srgbClr val="FFFFFF"/>
              </a:solidFill>
              <a:prstDash val="solid"/>
            </a:ln>
          </c:spPr>
        </c:dropLines>
        <c:axId val="182428416"/>
        <c:axId val="182429952"/>
      </c:areaChart>
      <c:dateAx>
        <c:axId val="1824284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crossAx val="18242995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2429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crossAx val="182428416"/>
        <c:crosses val="autoZero"/>
        <c:crossBetween val="midCat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003366" mc:Ignorable="a14" a14:legacySpreadsheetColorIndex="56"/>
            </a:gs>
          </a:gsLst>
          <a:lin ang="2700000" scaled="1"/>
        </a:gradFill>
        <a:ln w="25400">
          <a:noFill/>
        </a:ln>
      </c:spPr>
    </c:plotArea>
    <c:legend>
      <c:legendPos val="t"/>
      <c:layout>
        <c:manualLayout>
          <c:xMode val="edge"/>
          <c:yMode val="edge"/>
          <c:x val="0.37535942752662094"/>
          <c:y val="0.14809375303669936"/>
          <c:w val="0.26267186648417329"/>
          <c:h val="3.9162853493332789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Wireless Spend and Minutes</a:t>
            </a:r>
          </a:p>
        </c:rich>
      </c:tx>
      <c:layout>
        <c:manualLayout>
          <c:xMode val="edge"/>
          <c:yMode val="edge"/>
          <c:x val="0.32665964172813489"/>
          <c:y val="7.898448519040902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702850157667166"/>
          <c:y val="0.19550159037083314"/>
          <c:w val="0.74183350895679667"/>
          <c:h val="0.68368111762474792"/>
        </c:manualLayout>
      </c:layout>
      <c:barChart>
        <c:barDir val="col"/>
        <c:grouping val="clustered"/>
        <c:varyColors val="0"/>
        <c:ser>
          <c:idx val="0"/>
          <c:order val="0"/>
          <c:tx>
            <c:v>Monthly Wireless Spend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760000" mc:Ignorable="a14" a14:legacySpreadsheetColorIndex="10">
                    <a:gamma/>
                    <a:shade val="4627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0000" mc:Ignorable="a14" a14:legacySpreadsheetColorIndex="1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9B9-4748-B22F-D349CA60DC04}"/>
              </c:ext>
            </c:extLst>
          </c:dPt>
          <c:dLbls>
            <c:numFmt formatCode="0.0,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chemeClr val="bg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DataSource_1!$E$5:$E$16</c:f>
              <c:numCache>
                <c:formatCode>"$"#,##0</c:formatCode>
                <c:ptCount val="12"/>
                <c:pt idx="0">
                  <c:v>47592.65</c:v>
                </c:pt>
                <c:pt idx="1">
                  <c:v>55504.799999999996</c:v>
                </c:pt>
                <c:pt idx="2">
                  <c:v>32682.210000000003</c:v>
                </c:pt>
                <c:pt idx="3">
                  <c:v>35469.47</c:v>
                </c:pt>
                <c:pt idx="4">
                  <c:v>36712.839999999997</c:v>
                </c:pt>
                <c:pt idx="5">
                  <c:v>35893.999999999993</c:v>
                </c:pt>
                <c:pt idx="6">
                  <c:v>32710.1</c:v>
                </c:pt>
                <c:pt idx="7">
                  <c:v>33676.65</c:v>
                </c:pt>
                <c:pt idx="8">
                  <c:v>32969.08</c:v>
                </c:pt>
                <c:pt idx="9">
                  <c:v>33694.839999999997</c:v>
                </c:pt>
                <c:pt idx="10">
                  <c:v>34155.480000000003</c:v>
                </c:pt>
                <c:pt idx="11">
                  <c:v>31911.640000000003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9-4748-B22F-D349CA60DC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7687296"/>
        <c:axId val="167689216"/>
      </c:barChart>
      <c:lineChart>
        <c:grouping val="standard"/>
        <c:varyColors val="0"/>
        <c:ser>
          <c:idx val="1"/>
          <c:order val="1"/>
          <c:tx>
            <c:v>Monthly Minutes of Use</c:v>
          </c:tx>
          <c:spPr>
            <a:ln w="38100">
              <a:solidFill>
                <a:srgbClr val="003366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3366"/>
              </a:solidFill>
              <a:ln>
                <a:solidFill>
                  <a:srgbClr val="00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numFmt formatCode="0.0," sourceLinked="0"/>
            <c:spPr>
              <a:solidFill>
                <a:schemeClr val="bg1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DataSource_1!$G$5:$G$16</c:f>
              <c:numCache>
                <c:formatCode>#,##0</c:formatCode>
                <c:ptCount val="12"/>
                <c:pt idx="0">
                  <c:v>175781.09999999998</c:v>
                </c:pt>
                <c:pt idx="1">
                  <c:v>193710.6</c:v>
                </c:pt>
                <c:pt idx="2">
                  <c:v>213493.3</c:v>
                </c:pt>
                <c:pt idx="3">
                  <c:v>215067.40000000002</c:v>
                </c:pt>
                <c:pt idx="4">
                  <c:v>241373.4</c:v>
                </c:pt>
                <c:pt idx="5">
                  <c:v>240571</c:v>
                </c:pt>
                <c:pt idx="6">
                  <c:v>202948.2</c:v>
                </c:pt>
                <c:pt idx="7">
                  <c:v>216164.60000000003</c:v>
                </c:pt>
                <c:pt idx="8">
                  <c:v>204332.3</c:v>
                </c:pt>
                <c:pt idx="9">
                  <c:v>210447.8</c:v>
                </c:pt>
                <c:pt idx="10">
                  <c:v>217479</c:v>
                </c:pt>
                <c:pt idx="11">
                  <c:v>204421.1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9B9-4748-B22F-D349CA60DC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703296"/>
        <c:axId val="167704832"/>
      </c:lineChart>
      <c:dateAx>
        <c:axId val="16768729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crossAx val="1676892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67689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687296"/>
        <c:crosses val="autoZero"/>
        <c:crossBetween val="between"/>
      </c:valAx>
      <c:dateAx>
        <c:axId val="167703296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167704832"/>
        <c:crosses val="autoZero"/>
        <c:auto val="1"/>
        <c:lblOffset val="100"/>
        <c:baseTimeUnit val="months"/>
      </c:dateAx>
      <c:valAx>
        <c:axId val="167704832"/>
        <c:scaling>
          <c:orientation val="minMax"/>
        </c:scaling>
        <c:delete val="0"/>
        <c:axPos val="r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03296"/>
        <c:crosses val="max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YTD Trending Charges</a:t>
            </a:r>
          </a:p>
        </c:rich>
      </c:tx>
      <c:layout>
        <c:manualLayout>
          <c:xMode val="edge"/>
          <c:yMode val="edge"/>
          <c:x val="0.35811663961682899"/>
          <c:y val="7.174455004647263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55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8.2130965593784688E-2"/>
          <c:y val="0.18760195758564438"/>
          <c:w val="0.90344062153163152"/>
          <c:h val="0.63295269168026103"/>
        </c:manualLayout>
      </c:layout>
      <c:bar3DChart>
        <c:barDir val="col"/>
        <c:grouping val="stacked"/>
        <c:varyColors val="0"/>
        <c:ser>
          <c:idx val="1"/>
          <c:order val="0"/>
          <c:tx>
            <c:v>Plan Charge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8000" mc:Ignorable="a14" a14:legacySpreadsheetColorIndex="17"/>
                </a:gs>
                <a:gs pos="100000">
                  <a:srgbClr xmlns:mc="http://schemas.openxmlformats.org/markup-compatibility/2006" xmlns:a14="http://schemas.microsoft.com/office/drawing/2010/main" val="003B00" mc:Ignorable="a14" a14:legacySpreadsheetColorIndex="17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\$#,##0" sourceLinked="0"/>
            <c:spPr>
              <a:gradFill rotWithShape="0">
                <a:gsLst>
                  <a:gs pos="0">
                    <a:srgbClr val="FFEFD1"/>
                  </a:gs>
                  <a:gs pos="64999">
                    <a:srgbClr val="F0EBD5"/>
                  </a:gs>
                  <a:gs pos="100000">
                    <a:srgbClr val="D1C39F"/>
                  </a:gs>
                </a:gsLst>
                <a:path path="rect">
                  <a:fillToRect l="50000" t="50000" r="50000" b="50000"/>
                </a:path>
              </a:gra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DataSource_1!$U$5:$U$16</c:f>
              <c:numCache>
                <c:formatCode>"$"#,##0</c:formatCode>
                <c:ptCount val="12"/>
                <c:pt idx="0">
                  <c:v>23065.81</c:v>
                </c:pt>
                <c:pt idx="1">
                  <c:v>24400.789999999997</c:v>
                </c:pt>
                <c:pt idx="2">
                  <c:v>24654.67</c:v>
                </c:pt>
                <c:pt idx="3">
                  <c:v>25685.399999999998</c:v>
                </c:pt>
                <c:pt idx="4">
                  <c:v>25642.63</c:v>
                </c:pt>
                <c:pt idx="5">
                  <c:v>25534.27</c:v>
                </c:pt>
                <c:pt idx="6">
                  <c:v>25922.21</c:v>
                </c:pt>
                <c:pt idx="7">
                  <c:v>25540.820000000003</c:v>
                </c:pt>
                <c:pt idx="8">
                  <c:v>25536.399999999998</c:v>
                </c:pt>
                <c:pt idx="9">
                  <c:v>25049.35</c:v>
                </c:pt>
                <c:pt idx="10">
                  <c:v>25309.940000000002</c:v>
                </c:pt>
                <c:pt idx="11">
                  <c:v>25124.920000000002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7-4B8C-A76D-48276260CF93}"/>
            </c:ext>
          </c:extLst>
        </c:ser>
        <c:ser>
          <c:idx val="0"/>
          <c:order val="1"/>
          <c:tx>
            <c:v>Overage Cost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760000" mc:Ignorable="a14" a14:legacySpreadsheetColorIndex="10">
                    <a:gamma/>
                    <a:shade val="4627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0000" mc:Ignorable="a14" a14:legacySpreadsheetColorIndex="1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\$#,##0" sourceLinked="0"/>
            <c:spPr>
              <a:gradFill rotWithShape="0">
                <a:gsLst>
                  <a:gs pos="0">
                    <a:srgbClr val="FFEFD1"/>
                  </a:gs>
                  <a:gs pos="64999">
                    <a:srgbClr val="F0EBD5"/>
                  </a:gs>
                  <a:gs pos="100000">
                    <a:srgbClr val="D1C39F"/>
                  </a:gs>
                </a:gsLst>
                <a:path path="rect">
                  <a:fillToRect l="50000" t="50000" r="50000" b="50000"/>
                </a:path>
              </a:gra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DataSource_1!$V$5:$V$16</c:f>
              <c:numCache>
                <c:formatCode>"$"#,##0</c:formatCode>
                <c:ptCount val="12"/>
                <c:pt idx="0">
                  <c:v>16511.370000000003</c:v>
                </c:pt>
                <c:pt idx="1">
                  <c:v>21731.660000000003</c:v>
                </c:pt>
                <c:pt idx="2">
                  <c:v>1807.5199999999998</c:v>
                </c:pt>
                <c:pt idx="3">
                  <c:v>2017.85</c:v>
                </c:pt>
                <c:pt idx="4">
                  <c:v>4456.3499999999995</c:v>
                </c:pt>
                <c:pt idx="5">
                  <c:v>3889.6599999999994</c:v>
                </c:pt>
                <c:pt idx="6">
                  <c:v>541.5</c:v>
                </c:pt>
                <c:pt idx="7">
                  <c:v>2130.8100000000004</c:v>
                </c:pt>
                <c:pt idx="8">
                  <c:v>334.75</c:v>
                </c:pt>
                <c:pt idx="9">
                  <c:v>1959.69</c:v>
                </c:pt>
                <c:pt idx="10">
                  <c:v>2076.0199999999995</c:v>
                </c:pt>
                <c:pt idx="11">
                  <c:v>735.8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7-4B8C-A76D-48276260C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708672"/>
        <c:axId val="183718656"/>
        <c:axId val="0"/>
      </c:bar3DChart>
      <c:dateAx>
        <c:axId val="18370867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low"/>
        <c:crossAx val="18371865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3718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708672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36710962504146272"/>
          <c:y val="0.13890966072827682"/>
          <c:w val="0.26916015891307438"/>
          <c:h val="3.9616529045956993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800" b="1" i="0" u="sng" strike="noStrike" baseline="0">
                <a:solidFill>
                  <a:srgbClr val="000000"/>
                </a:solidFill>
                <a:latin typeface="Arial"/>
                <a:cs typeface="Arial"/>
              </a:rPr>
              <a:t>Monthly </a:t>
            </a:r>
            <a:r>
              <a:rPr lang="en-US" sz="1800" b="1" i="0" u="sng" strike="noStrike" baseline="0">
                <a:solidFill>
                  <a:srgbClr val="000080"/>
                </a:solidFill>
                <a:latin typeface="Arial"/>
                <a:cs typeface="Arial"/>
              </a:rPr>
              <a:t>Savings</a:t>
            </a:r>
            <a:r>
              <a:rPr lang="en-US" sz="1800" b="1" i="0" u="sng" strike="noStrike" baseline="0">
                <a:solidFill>
                  <a:srgbClr val="000000"/>
                </a:solidFill>
                <a:latin typeface="Arial"/>
                <a:cs typeface="Arial"/>
              </a:rPr>
              <a:t> vs. Baseline</a:t>
            </a:r>
          </a:p>
        </c:rich>
      </c:tx>
      <c:layout>
        <c:manualLayout>
          <c:xMode val="edge"/>
          <c:yMode val="edge"/>
          <c:x val="0.31298557158712542"/>
          <c:y val="7.3409461663947795E-2"/>
        </c:manualLayout>
      </c:layout>
      <c:overlay val="0"/>
      <c:spPr>
        <a:noFill/>
        <a:ln w="25400">
          <a:noFill/>
        </a:ln>
      </c:spPr>
    </c:title>
    <c:autoTitleDeleted val="0"/>
    <c:view3D>
      <c:rotX val="2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2142064372918979E-2"/>
          <c:y val="0.18270799347471453"/>
          <c:w val="0.85571587125416204"/>
          <c:h val="0.69494290375203915"/>
        </c:manualLayout>
      </c:layout>
      <c:pie3DChart>
        <c:varyColors val="1"/>
        <c:ser>
          <c:idx val="0"/>
          <c:order val="0"/>
          <c:tx>
            <c:v>Monthly Savings vs. Baseline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7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B9A-4310-9269-E8CBD3E80B27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B9A-4310-9269-E8CBD3E80B27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CB9A-4310-9269-E8CBD3E80B27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CB9A-4310-9269-E8CBD3E80B27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CB9A-4310-9269-E8CBD3E80B27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CB9A-4310-9269-E8CBD3E80B27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CB9A-4310-9269-E8CBD3E80B27}"/>
              </c:ext>
            </c:extLst>
          </c:dPt>
          <c:dPt>
            <c:idx val="7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CB9A-4310-9269-E8CBD3E80B27}"/>
              </c:ext>
            </c:extLst>
          </c:dPt>
          <c:dPt>
            <c:idx val="8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00003B" mc:Ignorable="a14" a14:legacySpreadsheetColorIndex="32">
                      <a:gamma/>
                      <a:shade val="46275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000080" mc:Ignorable="a14" a14:legacySpreadsheetColorIndex="32"/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CB9A-4310-9269-E8CBD3E80B27}"/>
              </c:ext>
            </c:extLst>
          </c:dPt>
          <c:dPt>
            <c:idx val="9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760076" mc:Ignorable="a14" a14:legacySpreadsheetColorIndex="33">
                      <a:gamma/>
                      <a:shade val="46275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FF00FF" mc:Ignorable="a14" a14:legacySpreadsheetColorIndex="33"/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CB9A-4310-9269-E8CBD3E80B27}"/>
              </c:ext>
            </c:extLst>
          </c:dPt>
          <c:dPt>
            <c:idx val="10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767600" mc:Ignorable="a14" a14:legacySpreadsheetColorIndex="34">
                      <a:gamma/>
                      <a:shade val="46275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FFFF00" mc:Ignorable="a14" a14:legacySpreadsheetColorIndex="34"/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4-CB9A-4310-9269-E8CBD3E80B27}"/>
              </c:ext>
            </c:extLst>
          </c:dPt>
          <c:dPt>
            <c:idx val="11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003B00" mc:Ignorable="a14" a14:legacySpreadsheetColorIndex="17">
                      <a:gamma/>
                      <a:shade val="46275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008000" mc:Ignorable="a14" a14:legacySpreadsheetColorIndex="17"/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6-CB9A-4310-9269-E8CBD3E80B27}"/>
              </c:ext>
            </c:extLst>
          </c:dPt>
          <c:dLbls>
            <c:numFmt formatCode="#,##0.00" sourceLinked="0"/>
            <c:spPr>
              <a:solidFill>
                <a:schemeClr val="bg1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DataSource_1!$L$5:$L$16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28491.019125509898</c:v>
                </c:pt>
                <c:pt idx="3">
                  <c:v>26154.793326426123</c:v>
                </c:pt>
                <c:pt idx="4">
                  <c:v>32449.003968889665</c:v>
                </c:pt>
                <c:pt idx="5">
                  <c:v>33037.928561472632</c:v>
                </c:pt>
                <c:pt idx="6">
                  <c:v>25441.592531849055</c:v>
                </c:pt>
                <c:pt idx="7">
                  <c:v>28261.999150227195</c:v>
                </c:pt>
                <c:pt idx="8">
                  <c:v>25579.205148257235</c:v>
                </c:pt>
                <c:pt idx="9">
                  <c:v>26605.747832777342</c:v>
                </c:pt>
                <c:pt idx="10">
                  <c:v>28159.790301160589</c:v>
                </c:pt>
                <c:pt idx="11">
                  <c:v>26662.089425648359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B9A-4310-9269-E8CBD3E80B27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1098779134295227E-2"/>
          <c:y val="0.92822185970636217"/>
          <c:w val="0.98113207547169812"/>
          <c:h val="5.5464926590538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>
                <a:latin typeface="Arial" panose="020B0604020202020204" pitchFamily="34" charset="0"/>
                <a:cs typeface="Arial" panose="020B0604020202020204" pitchFamily="34" charset="0"/>
              </a:rPr>
              <a:t>Wireless Spend and Number of Devices</a:t>
            </a:r>
          </a:p>
        </c:rich>
      </c:tx>
      <c:layout>
        <c:manualLayout>
          <c:xMode val="edge"/>
          <c:yMode val="edge"/>
          <c:x val="0.27493578900916277"/>
          <c:y val="8.15660480674576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423973362930077"/>
          <c:y val="0.22022838499184338"/>
          <c:w val="0.7380688124306326"/>
          <c:h val="0.60358890701468193"/>
        </c:manualLayout>
      </c:layout>
      <c:barChart>
        <c:barDir val="col"/>
        <c:grouping val="clustered"/>
        <c:varyColors val="0"/>
        <c:ser>
          <c:idx val="0"/>
          <c:order val="0"/>
          <c:tx>
            <c:v>Monthly Wireless Spend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DataSource_1!$E$5:$E$16</c:f>
              <c:numCache>
                <c:formatCode>"$"#,##0</c:formatCode>
                <c:ptCount val="12"/>
                <c:pt idx="0">
                  <c:v>47592.65</c:v>
                </c:pt>
                <c:pt idx="1">
                  <c:v>55504.799999999996</c:v>
                </c:pt>
                <c:pt idx="2">
                  <c:v>32682.210000000003</c:v>
                </c:pt>
                <c:pt idx="3">
                  <c:v>35469.47</c:v>
                </c:pt>
                <c:pt idx="4">
                  <c:v>36712.839999999997</c:v>
                </c:pt>
                <c:pt idx="5">
                  <c:v>35893.999999999993</c:v>
                </c:pt>
                <c:pt idx="6">
                  <c:v>32710.1</c:v>
                </c:pt>
                <c:pt idx="7">
                  <c:v>33676.65</c:v>
                </c:pt>
                <c:pt idx="8">
                  <c:v>32969.08</c:v>
                </c:pt>
                <c:pt idx="9">
                  <c:v>33694.839999999997</c:v>
                </c:pt>
                <c:pt idx="10">
                  <c:v>34155.480000000003</c:v>
                </c:pt>
                <c:pt idx="11">
                  <c:v>31911.640000000003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C-420D-B1A6-B6EE42E973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3828480"/>
        <c:axId val="183830016"/>
      </c:barChart>
      <c:lineChart>
        <c:grouping val="standard"/>
        <c:varyColors val="0"/>
        <c:ser>
          <c:idx val="1"/>
          <c:order val="1"/>
          <c:tx>
            <c:v>No. of Devices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numFmt formatCode="General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DataSource_1!$C$5:$C$16</c:f>
              <c:numCache>
                <c:formatCode>General</c:formatCode>
                <c:ptCount val="12"/>
                <c:pt idx="0">
                  <c:v>433</c:v>
                </c:pt>
                <c:pt idx="1">
                  <c:v>453</c:v>
                </c:pt>
                <c:pt idx="2">
                  <c:v>460</c:v>
                </c:pt>
                <c:pt idx="3">
                  <c:v>479</c:v>
                </c:pt>
                <c:pt idx="4">
                  <c:v>480</c:v>
                </c:pt>
                <c:pt idx="5">
                  <c:v>478</c:v>
                </c:pt>
                <c:pt idx="6">
                  <c:v>489</c:v>
                </c:pt>
                <c:pt idx="7">
                  <c:v>489</c:v>
                </c:pt>
                <c:pt idx="8">
                  <c:v>491</c:v>
                </c:pt>
                <c:pt idx="9">
                  <c:v>476</c:v>
                </c:pt>
                <c:pt idx="10">
                  <c:v>484</c:v>
                </c:pt>
                <c:pt idx="11">
                  <c:v>479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6C-420D-B1A6-B6EE42E973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3831552"/>
        <c:axId val="183841536"/>
      </c:lineChart>
      <c:dateAx>
        <c:axId val="18382848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nextTo"/>
        <c:crossAx val="1838300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383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28480"/>
        <c:crosses val="autoZero"/>
        <c:crossBetween val="between"/>
      </c:valAx>
      <c:dateAx>
        <c:axId val="183831552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183841536"/>
        <c:crosses val="autoZero"/>
        <c:auto val="1"/>
        <c:lblOffset val="100"/>
        <c:baseTimeUnit val="months"/>
      </c:dateAx>
      <c:valAx>
        <c:axId val="183841536"/>
        <c:scaling>
          <c:orientation val="minMax"/>
        </c:scaling>
        <c:delete val="0"/>
        <c:axPos val="r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3155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0">
              <a:srgbClr xmlns:mc="http://schemas.openxmlformats.org/markup-compatibility/2006" xmlns:a14="http://schemas.microsoft.com/office/drawing/2010/main" val="764700" mc:Ignorable="a14" a14:legacySpreadsheetColorIndex="52">
                <a:gamma/>
                <a:shade val="46275"/>
                <a:invGamma/>
              </a:srgbClr>
            </a:gs>
            <a:gs pos="50000">
              <a:srgbClr xmlns:mc="http://schemas.openxmlformats.org/markup-compatibility/2006" xmlns:a14="http://schemas.microsoft.com/office/drawing/2010/main" val="FF9900" mc:Ignorable="a14" a14:legacySpreadsheetColorIndex="52"/>
            </a:gs>
            <a:gs pos="100000">
              <a:srgbClr xmlns:mc="http://schemas.openxmlformats.org/markup-compatibility/2006" xmlns:a14="http://schemas.microsoft.com/office/drawing/2010/main" val="764700" mc:Ignorable="a14" a14:legacySpreadsheetColorIndex="52">
                <a:gamma/>
                <a:shade val="46275"/>
                <a:invGamma/>
              </a:srgbClr>
            </a:gs>
          </a:gsLst>
          <a:lin ang="0" scaled="1"/>
        </a:gra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2679997284695578"/>
          <c:y val="0.15417445861050505"/>
          <c:w val="0.39347927354624013"/>
          <c:h val="4.20777845335144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 Net Savings</a:t>
            </a:r>
            <a:r>
              <a:rPr lang="en-US" sz="1800" b="1" baseline="0"/>
              <a:t> </a:t>
            </a:r>
            <a:r>
              <a:rPr lang="en-US" sz="1800" b="1"/>
              <a:t>vs SourceMobile Cost</a:t>
            </a:r>
          </a:p>
        </c:rich>
      </c:tx>
      <c:layout>
        <c:manualLayout>
          <c:xMode val="edge"/>
          <c:yMode val="edge"/>
          <c:x val="0.2979904060022715"/>
          <c:y val="7.8504674822887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427302996670367"/>
          <c:y val="0.24143556280587275"/>
          <c:w val="0.78357380688124312"/>
          <c:h val="0.55954323001631323"/>
        </c:manualLayout>
      </c:layout>
      <c:barChart>
        <c:barDir val="col"/>
        <c:grouping val="clustered"/>
        <c:varyColors val="0"/>
        <c:ser>
          <c:idx val="4"/>
          <c:order val="2"/>
          <c:tx>
            <c:v>Net Monthly Savings</c:v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dLbl>
              <c:idx val="0"/>
              <c:layout>
                <c:manualLayout>
                  <c:x val="4.4515102595627729E-3"/>
                  <c:y val="4.758152543924069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0E-4EBC-B34F-4ECCB21FF4C5}"/>
                </c:ext>
              </c:extLst>
            </c:dLbl>
            <c:dLbl>
              <c:idx val="1"/>
              <c:layout>
                <c:manualLayout>
                  <c:x val="-4.4515102595627729E-3"/>
                  <c:y val="4.776490906284271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50E-4EBC-B34F-4ECCB21FF4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DataSource_1!$O$5:$O$16</c:f>
              <c:numCache>
                <c:formatCode>"$"#,##0</c:formatCode>
                <c:ptCount val="12"/>
                <c:pt idx="0">
                  <c:v>-2056.75</c:v>
                </c:pt>
                <c:pt idx="1">
                  <c:v>-2151.75</c:v>
                </c:pt>
                <c:pt idx="2">
                  <c:v>26306.019125509898</c:v>
                </c:pt>
                <c:pt idx="3">
                  <c:v>23879.543326426123</c:v>
                </c:pt>
                <c:pt idx="4">
                  <c:v>30169.003968889665</c:v>
                </c:pt>
                <c:pt idx="5">
                  <c:v>30767.428561472632</c:v>
                </c:pt>
                <c:pt idx="6">
                  <c:v>23118.842531849055</c:v>
                </c:pt>
                <c:pt idx="7">
                  <c:v>25939.249150227195</c:v>
                </c:pt>
                <c:pt idx="8">
                  <c:v>23246.955148257235</c:v>
                </c:pt>
                <c:pt idx="9">
                  <c:v>24344.747832777342</c:v>
                </c:pt>
                <c:pt idx="10">
                  <c:v>25860.790301160589</c:v>
                </c:pt>
                <c:pt idx="11">
                  <c:v>24386.839425648359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3-4F5F-93FF-72193542C872}"/>
            </c:ext>
          </c:extLst>
        </c:ser>
        <c:ser>
          <c:idx val="5"/>
          <c:order val="3"/>
          <c:tx>
            <c:v>Net Cumulative Savings</c:v>
          </c:tx>
          <c:spPr>
            <a:solidFill>
              <a:srgbClr val="008000"/>
            </a:solidFill>
            <a:ln w="12700">
              <a:solidFill>
                <a:srgbClr val="0000FF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dLbl>
              <c:idx val="0"/>
              <c:layout>
                <c:manualLayout>
                  <c:x val="8.9030205191254919E-3"/>
                  <c:y val="7.85046748228879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D6-40AC-936C-8A36DC6A82C5}"/>
                </c:ext>
              </c:extLst>
            </c:dLbl>
            <c:dLbl>
              <c:idx val="1"/>
              <c:layout>
                <c:manualLayout>
                  <c:x val="-1.483836753187591E-3"/>
                  <c:y val="7.6323989411141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6-40AC-936C-8A36DC6A82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DataSource_1!$P$5:$P$16</c:f>
              <c:numCache>
                <c:formatCode>"$"#,##0</c:formatCode>
                <c:ptCount val="12"/>
                <c:pt idx="0">
                  <c:v>-2056.75</c:v>
                </c:pt>
                <c:pt idx="1">
                  <c:v>-4208.5</c:v>
                </c:pt>
                <c:pt idx="2">
                  <c:v>22097.519125509898</c:v>
                </c:pt>
                <c:pt idx="3">
                  <c:v>45977.062451936021</c:v>
                </c:pt>
                <c:pt idx="4">
                  <c:v>76146.066420825693</c:v>
                </c:pt>
                <c:pt idx="5">
                  <c:v>106913.49498229832</c:v>
                </c:pt>
                <c:pt idx="6">
                  <c:v>130032.33751414737</c:v>
                </c:pt>
                <c:pt idx="7">
                  <c:v>155971.58666437457</c:v>
                </c:pt>
                <c:pt idx="8">
                  <c:v>179218.5418126318</c:v>
                </c:pt>
                <c:pt idx="9">
                  <c:v>203563.28964540915</c:v>
                </c:pt>
                <c:pt idx="10">
                  <c:v>229424.07994656975</c:v>
                </c:pt>
                <c:pt idx="11">
                  <c:v>253810.91937221811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13-4F5F-93FF-72193542C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257792"/>
        <c:axId val="168280064"/>
      </c:barChart>
      <c:lineChart>
        <c:grouping val="standard"/>
        <c:varyColors val="0"/>
        <c:ser>
          <c:idx val="0"/>
          <c:order val="0"/>
          <c:tx>
            <c:v>Monthly Wireless Spend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DataSource_1!$E$5:$E$16</c:f>
              <c:numCache>
                <c:formatCode>"$"#,##0</c:formatCode>
                <c:ptCount val="12"/>
                <c:pt idx="0">
                  <c:v>47592.65</c:v>
                </c:pt>
                <c:pt idx="1">
                  <c:v>55504.799999999996</c:v>
                </c:pt>
                <c:pt idx="2">
                  <c:v>32682.210000000003</c:v>
                </c:pt>
                <c:pt idx="3">
                  <c:v>35469.47</c:v>
                </c:pt>
                <c:pt idx="4">
                  <c:v>36712.839999999997</c:v>
                </c:pt>
                <c:pt idx="5">
                  <c:v>35893.999999999993</c:v>
                </c:pt>
                <c:pt idx="6">
                  <c:v>32710.1</c:v>
                </c:pt>
                <c:pt idx="7">
                  <c:v>33676.65</c:v>
                </c:pt>
                <c:pt idx="8">
                  <c:v>32969.08</c:v>
                </c:pt>
                <c:pt idx="9">
                  <c:v>33694.839999999997</c:v>
                </c:pt>
                <c:pt idx="10">
                  <c:v>34155.480000000003</c:v>
                </c:pt>
                <c:pt idx="11">
                  <c:v>31911.640000000003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D13-4F5F-93FF-72193542C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257792"/>
        <c:axId val="168280064"/>
      </c:lineChart>
      <c:lineChart>
        <c:grouping val="standard"/>
        <c:varyColors val="0"/>
        <c:ser>
          <c:idx val="3"/>
          <c:order val="1"/>
          <c:tx>
            <c:v>MobileManager Cost per User</c:v>
          </c:tx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dLbls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DataSource_1!$N$5:$N$16</c:f>
              <c:numCache>
                <c:formatCode>"$"#,##0.00</c:formatCode>
                <c:ptCount val="12"/>
                <c:pt idx="0">
                  <c:v>2056.75</c:v>
                </c:pt>
                <c:pt idx="1">
                  <c:v>2151.75</c:v>
                </c:pt>
                <c:pt idx="2">
                  <c:v>2185</c:v>
                </c:pt>
                <c:pt idx="3">
                  <c:v>2275.25</c:v>
                </c:pt>
                <c:pt idx="4">
                  <c:v>2280</c:v>
                </c:pt>
                <c:pt idx="5">
                  <c:v>2270.5</c:v>
                </c:pt>
                <c:pt idx="6">
                  <c:v>2322.75</c:v>
                </c:pt>
                <c:pt idx="7">
                  <c:v>2322.75</c:v>
                </c:pt>
                <c:pt idx="8">
                  <c:v>2332.25</c:v>
                </c:pt>
                <c:pt idx="9">
                  <c:v>2261</c:v>
                </c:pt>
                <c:pt idx="10">
                  <c:v>2299</c:v>
                </c:pt>
                <c:pt idx="11">
                  <c:v>2275.25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D13-4F5F-93FF-72193542C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687807"/>
        <c:axId val="276687327"/>
      </c:lineChart>
      <c:catAx>
        <c:axId val="16825779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crossAx val="168280064"/>
        <c:crosses val="autoZero"/>
        <c:auto val="0"/>
        <c:lblAlgn val="ctr"/>
        <c:lblOffset val="100"/>
        <c:tickLblSkip val="1"/>
        <c:tickMarkSkip val="1"/>
        <c:noMultiLvlLbl val="1"/>
      </c:catAx>
      <c:valAx>
        <c:axId val="168280064"/>
        <c:scaling>
          <c:orientation val="minMax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8257792"/>
        <c:crosses val="autoZero"/>
        <c:crossBetween val="between"/>
      </c:valAx>
      <c:valAx>
        <c:axId val="276687327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crossAx val="276687807"/>
        <c:crosses val="max"/>
        <c:crossBetween val="between"/>
      </c:valAx>
      <c:dateAx>
        <c:axId val="276687807"/>
        <c:scaling>
          <c:orientation val="minMax"/>
        </c:scaling>
        <c:delete val="1"/>
        <c:axPos val="t"/>
        <c:numFmt formatCode="mmm\ yyyy" sourceLinked="1"/>
        <c:majorTickMark val="out"/>
        <c:minorTickMark val="none"/>
        <c:tickLblPos val="nextTo"/>
        <c:crossAx val="276687327"/>
        <c:crosses val="max"/>
        <c:auto val="1"/>
        <c:lblOffset val="100"/>
        <c:baseTimeUnit val="months"/>
      </c:date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900"/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20088790233074361"/>
          <c:y val="0.16041326808047851"/>
          <c:w val="0.68146503884572696"/>
          <c:h val="3.58890701468189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>
              <a:latin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 panose="020B0604020202020204" pitchFamily="34" charset="0"/>
          <a:ea typeface="Arial"/>
          <a:cs typeface="Arial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Spend &amp; Minutes Used</a:t>
            </a:r>
          </a:p>
        </c:rich>
      </c:tx>
      <c:layout>
        <c:manualLayout>
          <c:xMode val="edge"/>
          <c:yMode val="edge"/>
          <c:x val="0.31548332243433813"/>
          <c:y val="5.86604375759913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15205327413984"/>
          <c:y val="0.2267536704730832"/>
          <c:w val="0.77247502774694787"/>
          <c:h val="0.57259380097879287"/>
        </c:manualLayout>
      </c:layout>
      <c:barChart>
        <c:barDir val="col"/>
        <c:grouping val="stacked"/>
        <c:varyColors val="0"/>
        <c:ser>
          <c:idx val="0"/>
          <c:order val="0"/>
          <c:tx>
            <c:v>Usage Cost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3300" mc:Ignorable="a14" a14:legacySpreadsheetColorIndex="17">
                    <a:gamma/>
                    <a:shade val="4000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8000" mc:Ignorable="a14" a14:legacySpreadsheetColorIndex="17"/>
                </a:gs>
              </a:gsLst>
              <a:lin ang="0" scaled="1"/>
            </a:gradFill>
            <a:ln w="254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spPr>
              <a:solidFill>
                <a:srgbClr val="00CC66"/>
              </a:solidFill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DataSource_1!$AD$5:$AD$16</c:f>
              <c:numCache>
                <c:formatCode>"$"#,##0</c:formatCode>
                <c:ptCount val="12"/>
                <c:pt idx="0">
                  <c:v>24526.84</c:v>
                </c:pt>
                <c:pt idx="1">
                  <c:v>31104.01</c:v>
                </c:pt>
                <c:pt idx="2">
                  <c:v>8027.5400000000045</c:v>
                </c:pt>
                <c:pt idx="3">
                  <c:v>9784.0700000000033</c:v>
                </c:pt>
                <c:pt idx="4">
                  <c:v>11070.209999999995</c:v>
                </c:pt>
                <c:pt idx="5">
                  <c:v>10359.729999999992</c:v>
                </c:pt>
                <c:pt idx="6">
                  <c:v>6787.8899999999994</c:v>
                </c:pt>
                <c:pt idx="7">
                  <c:v>8135.8299999999981</c:v>
                </c:pt>
                <c:pt idx="8">
                  <c:v>7432.6800000000039</c:v>
                </c:pt>
                <c:pt idx="9">
                  <c:v>8645.489999999998</c:v>
                </c:pt>
                <c:pt idx="10">
                  <c:v>8845.5400000000009</c:v>
                </c:pt>
                <c:pt idx="11">
                  <c:v>6786.7200000000012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6-4017-BE8F-0DF917D6EBD0}"/>
            </c:ext>
          </c:extLst>
        </c:ser>
        <c:ser>
          <c:idx val="3"/>
          <c:order val="3"/>
          <c:tx>
            <c:v>Non Usage Cost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560000" mc:Ignorable="a14" a14:legacySpreadsheetColorIndex="10">
                    <a:gamma/>
                    <a:shade val="3372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0000" mc:Ignorable="a14" a14:legacySpreadsheetColorIndex="10"/>
                </a:gs>
              </a:gsLst>
              <a:lin ang="0" scaled="1"/>
            </a:gradFill>
            <a:ln w="254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spPr>
              <a:solidFill>
                <a:srgbClr val="FF9999"/>
              </a:solidFill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DataSource_1!$AC$5:$AC$16</c:f>
              <c:numCache>
                <c:formatCode>"$"#,##0</c:formatCode>
                <c:ptCount val="12"/>
                <c:pt idx="0">
                  <c:v>23065.81</c:v>
                </c:pt>
                <c:pt idx="1">
                  <c:v>24400.789999999997</c:v>
                </c:pt>
                <c:pt idx="2">
                  <c:v>24654.67</c:v>
                </c:pt>
                <c:pt idx="3">
                  <c:v>25685.399999999998</c:v>
                </c:pt>
                <c:pt idx="4">
                  <c:v>25642.63</c:v>
                </c:pt>
                <c:pt idx="5">
                  <c:v>25534.27</c:v>
                </c:pt>
                <c:pt idx="6">
                  <c:v>25922.21</c:v>
                </c:pt>
                <c:pt idx="7">
                  <c:v>25540.820000000003</c:v>
                </c:pt>
                <c:pt idx="8">
                  <c:v>25536.399999999998</c:v>
                </c:pt>
                <c:pt idx="9">
                  <c:v>25049.35</c:v>
                </c:pt>
                <c:pt idx="10">
                  <c:v>25309.940000000002</c:v>
                </c:pt>
                <c:pt idx="11">
                  <c:v>25124.920000000002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D6-4017-BE8F-0DF917D6E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842240"/>
        <c:axId val="158852224"/>
      </c:barChart>
      <c:lineChart>
        <c:grouping val="standard"/>
        <c:varyColors val="0"/>
        <c:ser>
          <c:idx val="1"/>
          <c:order val="1"/>
          <c:tx>
            <c:v>Usage Cost Per Min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square"/>
            <c:size val="5"/>
            <c:spPr>
              <a:solidFill>
                <a:schemeClr val="bg1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DataSource_1!$AF$5:$AF$16</c:f>
              <c:numCache>
                <c:formatCode>"$"#,##0.00</c:formatCode>
                <c:ptCount val="12"/>
                <c:pt idx="0">
                  <c:v>0.27074952881737574</c:v>
                </c:pt>
                <c:pt idx="1">
                  <c:v>0.28653465530538852</c:v>
                </c:pt>
                <c:pt idx="2">
                  <c:v>0.15308307099098661</c:v>
                </c:pt>
                <c:pt idx="3">
                  <c:v>0.16492257775934427</c:v>
                </c:pt>
                <c:pt idx="4">
                  <c:v>0.15209977570022212</c:v>
                </c:pt>
                <c:pt idx="5">
                  <c:v>0.1492033536876847</c:v>
                </c:pt>
                <c:pt idx="6">
                  <c:v>0.16117462485501224</c:v>
                </c:pt>
                <c:pt idx="7">
                  <c:v>0.15579169762301504</c:v>
                </c:pt>
                <c:pt idx="8">
                  <c:v>0.16135031025442381</c:v>
                </c:pt>
                <c:pt idx="9">
                  <c:v>0.16011020310024623</c:v>
                </c:pt>
                <c:pt idx="10">
                  <c:v>0.15705185328238591</c:v>
                </c:pt>
                <c:pt idx="11">
                  <c:v>0.15610736856420399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D6-4017-BE8F-0DF917D6EBD0}"/>
            </c:ext>
          </c:extLst>
        </c:ser>
        <c:ser>
          <c:idx val="2"/>
          <c:order val="2"/>
          <c:tx>
            <c:v>Usg Cost 12 Mo. Avg.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DataSource_1!$AG$5:$AG$16</c:f>
              <c:numCache>
                <c:formatCode>"$"#,##0.00</c:formatCode>
                <c:ptCount val="12"/>
                <c:pt idx="0">
                  <c:v>0.17734825166169074</c:v>
                </c:pt>
                <c:pt idx="1">
                  <c:v>0.17734825166169074</c:v>
                </c:pt>
                <c:pt idx="2">
                  <c:v>0.17734825166169074</c:v>
                </c:pt>
                <c:pt idx="3">
                  <c:v>0.17734825166169074</c:v>
                </c:pt>
                <c:pt idx="4">
                  <c:v>0.17734825166169074</c:v>
                </c:pt>
                <c:pt idx="5">
                  <c:v>0.17734825166169074</c:v>
                </c:pt>
                <c:pt idx="6">
                  <c:v>0.17734825166169074</c:v>
                </c:pt>
                <c:pt idx="7">
                  <c:v>0.17734825166169074</c:v>
                </c:pt>
                <c:pt idx="8">
                  <c:v>0.17734825166169074</c:v>
                </c:pt>
                <c:pt idx="9">
                  <c:v>0.17734825166169074</c:v>
                </c:pt>
                <c:pt idx="10">
                  <c:v>0.17734825166169074</c:v>
                </c:pt>
                <c:pt idx="11">
                  <c:v>0.17734825166169074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D6-4017-BE8F-0DF917D6E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853760"/>
        <c:axId val="167981440"/>
      </c:lineChart>
      <c:dateAx>
        <c:axId val="15884224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crossAx val="1588522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58852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3366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42240"/>
        <c:crosses val="autoZero"/>
        <c:crossBetween val="between"/>
      </c:valAx>
      <c:dateAx>
        <c:axId val="158853760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167981440"/>
        <c:crosses val="autoZero"/>
        <c:auto val="1"/>
        <c:lblOffset val="100"/>
        <c:baseTimeUnit val="months"/>
      </c:dateAx>
      <c:valAx>
        <c:axId val="167981440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53760"/>
        <c:crosses val="max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25400">
          <a:noFill/>
        </a:ln>
      </c:spPr>
    </c:plotArea>
    <c:legend>
      <c:legendPos val="t"/>
      <c:layout>
        <c:manualLayout>
          <c:xMode val="edge"/>
          <c:yMode val="edge"/>
          <c:x val="5.890306141226441E-2"/>
          <c:y val="0.13018691908128927"/>
          <c:w val="0.89999991821372216"/>
          <c:h val="3.7209533132424095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Monthly Spend vs. Cumulative Savings</a:t>
            </a:r>
          </a:p>
        </c:rich>
      </c:tx>
      <c:layout>
        <c:manualLayout>
          <c:xMode val="edge"/>
          <c:yMode val="edge"/>
          <c:x val="0.25749167591564925"/>
          <c:y val="8.4828711256117462E-2"/>
        </c:manualLayout>
      </c:layout>
      <c:overlay val="0"/>
      <c:spPr>
        <a:noFill/>
        <a:ln w="25400">
          <a:noFill/>
        </a:ln>
      </c:spPr>
    </c:title>
    <c:autoTitleDeleted val="0"/>
    <c:view3D>
      <c:rotX val="0"/>
      <c:hPercent val="100"/>
      <c:rotY val="0"/>
      <c:depthPercent val="100"/>
      <c:rAngAx val="0"/>
      <c:perspective val="44"/>
    </c:view3D>
    <c:floor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9525">
          <a:noFill/>
        </a:ln>
      </c:spPr>
    </c:floor>
    <c:side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25400">
          <a:noFill/>
        </a:ln>
      </c:spPr>
    </c:sideWall>
    <c:back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750659810795625"/>
          <c:y val="0.23492712819013242"/>
          <c:w val="0.85016648168701447"/>
          <c:h val="0.59869494290375203"/>
        </c:manualLayout>
      </c:layout>
      <c:area3DChart>
        <c:grouping val="standard"/>
        <c:varyColors val="0"/>
        <c:ser>
          <c:idx val="0"/>
          <c:order val="0"/>
          <c:tx>
            <c:v>Monthly Wireless Spend</c:v>
          </c:tx>
          <c:spPr>
            <a:pattFill prst="horzBrick">
              <a:fgClr>
                <a:srgbClr xmlns:mc="http://schemas.openxmlformats.org/markup-compatibility/2006" xmlns:a14="http://schemas.microsoft.com/office/drawing/2010/main" val="FFFFFF" mc:Ignorable="a14" a14:legacySpreadsheetColorIndex="9"/>
              </a:fgClr>
              <a:bgClr>
                <a:srgbClr xmlns:mc="http://schemas.openxmlformats.org/markup-compatibility/2006" xmlns:a14="http://schemas.microsoft.com/office/drawing/2010/main" val="FF0000" mc:Ignorable="a14" a14:legacySpreadsheetColorIndex="10"/>
              </a:bgClr>
            </a:pattFill>
            <a:ln w="25400">
              <a:solidFill>
                <a:srgbClr val="FFFFFF"/>
              </a:solidFill>
              <a:prstDash val="solid"/>
            </a:ln>
          </c:spP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69-4032-BCEA-38D7251D6E21}"/>
                </c:ext>
              </c:extLst>
            </c:dLbl>
            <c:dLbl>
              <c:idx val="1"/>
              <c:layout>
                <c:manualLayout>
                  <c:x val="-3.116057181693941E-2"/>
                  <c:y val="2.61682249409626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F8-4833-B4E3-6A310E7EFEAF}"/>
                </c:ext>
              </c:extLst>
            </c:dLbl>
            <c:dLbl>
              <c:idx val="2"/>
              <c:layout>
                <c:manualLayout>
                  <c:x val="-1.9289877791438682E-2"/>
                  <c:y val="1.3084112470481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F8-4833-B4E3-6A310E7EFEAF}"/>
                </c:ext>
              </c:extLst>
            </c:dLbl>
            <c:dLbl>
              <c:idx val="3"/>
              <c:layout>
                <c:manualLayout>
                  <c:x val="-1.3354530778688319E-2"/>
                  <c:y val="-4.361370823493777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F8-4833-B4E3-6A310E7EFEAF}"/>
                </c:ext>
              </c:extLst>
            </c:dLbl>
            <c:dLbl>
              <c:idx val="4"/>
              <c:layout>
                <c:manualLayout>
                  <c:x val="-1.1870694025500728E-2"/>
                  <c:y val="1.74454832939751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F8-4833-B4E3-6A310E7EFEAF}"/>
                </c:ext>
              </c:extLst>
            </c:dLbl>
            <c:dLbl>
              <c:idx val="5"/>
              <c:layout>
                <c:manualLayout>
                  <c:x val="-4.4515102595628821E-3"/>
                  <c:y val="-1.74454832939751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F8-4833-B4E3-6A310E7EFEAF}"/>
                </c:ext>
              </c:extLst>
            </c:dLbl>
            <c:dLbl>
              <c:idx val="6"/>
              <c:layout>
                <c:manualLayout>
                  <c:x val="-7.4191837659379548E-3"/>
                  <c:y val="1.74454832939751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F8-4833-B4E3-6A310E7EFEAF}"/>
                </c:ext>
              </c:extLst>
            </c:dLbl>
            <c:dLbl>
              <c:idx val="7"/>
              <c:layout>
                <c:manualLayout>
                  <c:x val="-8.9030205191255457E-3"/>
                  <c:y val="-4.36137082349393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F8-4833-B4E3-6A310E7EFEAF}"/>
                </c:ext>
              </c:extLst>
            </c:dLbl>
            <c:dLbl>
              <c:idx val="8"/>
              <c:layout>
                <c:manualLayout>
                  <c:x val="-2.9676735063751819E-3"/>
                  <c:y val="1.5264797882228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F8-4833-B4E3-6A310E7EFEAF}"/>
                </c:ext>
              </c:extLst>
            </c:dLbl>
            <c:dLbl>
              <c:idx val="9"/>
              <c:layout>
                <c:manualLayout>
                  <c:x val="-7.4191837659379548E-3"/>
                  <c:y val="-1.09034270587344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F8-4833-B4E3-6A310E7EFEAF}"/>
                </c:ext>
              </c:extLst>
            </c:dLbl>
            <c:dLbl>
              <c:idx val="10"/>
              <c:layout>
                <c:manualLayout>
                  <c:x val="0"/>
                  <c:y val="1.9626168705721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F8-4833-B4E3-6A310E7EFEAF}"/>
                </c:ext>
              </c:extLst>
            </c:dLbl>
            <c:dLbl>
              <c:idx val="11"/>
              <c:layout>
                <c:manualLayout>
                  <c:x val="-1.7806041038251091E-2"/>
                  <c:y val="-1.74454832939751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F8-4833-B4E3-6A310E7EFEAF}"/>
                </c:ext>
              </c:extLst>
            </c:dLbl>
            <c:numFmt formatCode="\$#,##0" sourceLinked="0"/>
            <c:spPr>
              <a:solidFill>
                <a:srgbClr val="FF9933"/>
              </a:solidFill>
              <a:ln w="25400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DataSource_1!$E$5:$E$16</c:f>
              <c:numCache>
                <c:formatCode>"$"#,##0</c:formatCode>
                <c:ptCount val="12"/>
                <c:pt idx="0">
                  <c:v>47592.65</c:v>
                </c:pt>
                <c:pt idx="1">
                  <c:v>55504.799999999996</c:v>
                </c:pt>
                <c:pt idx="2">
                  <c:v>32682.210000000003</c:v>
                </c:pt>
                <c:pt idx="3">
                  <c:v>35469.47</c:v>
                </c:pt>
                <c:pt idx="4">
                  <c:v>36712.839999999997</c:v>
                </c:pt>
                <c:pt idx="5">
                  <c:v>35893.999999999993</c:v>
                </c:pt>
                <c:pt idx="6">
                  <c:v>32710.1</c:v>
                </c:pt>
                <c:pt idx="7">
                  <c:v>33676.65</c:v>
                </c:pt>
                <c:pt idx="8">
                  <c:v>32969.08</c:v>
                </c:pt>
                <c:pt idx="9">
                  <c:v>33694.839999999997</c:v>
                </c:pt>
                <c:pt idx="10">
                  <c:v>34155.480000000003</c:v>
                </c:pt>
                <c:pt idx="11">
                  <c:v>31911.640000000003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69-4032-BCEA-38D7251D6E21}"/>
            </c:ext>
          </c:extLst>
        </c:ser>
        <c:ser>
          <c:idx val="1"/>
          <c:order val="1"/>
          <c:tx>
            <c:v>Cumulative Monthly Savings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8000" mc:Ignorable="a14" a14:legacySpreadsheetColorIndex="17"/>
                </a:gs>
                <a:gs pos="100000">
                  <a:srgbClr xmlns:mc="http://schemas.openxmlformats.org/markup-compatibility/2006" xmlns:a14="http://schemas.microsoft.com/office/drawing/2010/main" val="003B00" mc:Ignorable="a14" a14:legacySpreadsheetColorIndex="17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69-4032-BCEA-38D7251D6E2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69-4032-BCEA-38D7251D6E2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69-4032-BCEA-38D7251D6E2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69-4032-BCEA-38D7251D6E21}"/>
                </c:ext>
              </c:extLst>
            </c:dLbl>
            <c:dLbl>
              <c:idx val="4"/>
              <c:layout>
                <c:manualLayout>
                  <c:x val="-5.4260071172915396E-17"/>
                  <c:y val="-2.82762370853724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69-4032-BCEA-38D7251D6E21}"/>
                </c:ext>
              </c:extLst>
            </c:dLbl>
            <c:dLbl>
              <c:idx val="5"/>
              <c:layout>
                <c:manualLayout>
                  <c:x val="0"/>
                  <c:y val="-5.00271886895051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69-4032-BCEA-38D7251D6E21}"/>
                </c:ext>
              </c:extLst>
            </c:dLbl>
            <c:dLbl>
              <c:idx val="6"/>
              <c:layout>
                <c:manualLayout>
                  <c:x val="0"/>
                  <c:y val="-8.2653616095704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69-4032-BCEA-38D7251D6E21}"/>
                </c:ext>
              </c:extLst>
            </c:dLbl>
            <c:dLbl>
              <c:idx val="7"/>
              <c:layout>
                <c:manualLayout>
                  <c:x val="0"/>
                  <c:y val="-0.10222947253942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969-4032-BCEA-38D7251D6E21}"/>
                </c:ext>
              </c:extLst>
            </c:dLbl>
            <c:dLbl>
              <c:idx val="8"/>
              <c:layout>
                <c:manualLayout>
                  <c:x val="1.4798372179060304E-3"/>
                  <c:y val="-0.1283306144643828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69-4032-BCEA-38D7251D6E21}"/>
                </c:ext>
              </c:extLst>
            </c:dLbl>
            <c:dLbl>
              <c:idx val="9"/>
              <c:layout>
                <c:manualLayout>
                  <c:x val="0"/>
                  <c:y val="-0.1522566612289288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69-4032-BCEA-38D7251D6E21}"/>
                </c:ext>
              </c:extLst>
            </c:dLbl>
            <c:dLbl>
              <c:idx val="10"/>
              <c:layout>
                <c:manualLayout>
                  <c:x val="5.1113810551705451E-3"/>
                  <c:y val="-0.1698050549554062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69-4032-BCEA-38D7251D6E21}"/>
                </c:ext>
              </c:extLst>
            </c:dLbl>
            <c:dLbl>
              <c:idx val="11"/>
              <c:layout>
                <c:manualLayout>
                  <c:x val="-7.1797740043870765E-3"/>
                  <c:y val="-0.18883970661905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969-4032-BCEA-38D7251D6E21}"/>
                </c:ext>
              </c:extLst>
            </c:dLbl>
            <c:numFmt formatCode="\$#,##0_);[Red]\(\$#,##0\)" sourceLinked="0"/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DataSource_1!$M$5:$M$16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28491.019125509898</c:v>
                </c:pt>
                <c:pt idx="3">
                  <c:v>54645.812451936021</c:v>
                </c:pt>
                <c:pt idx="4">
                  <c:v>87094.816420825693</c:v>
                </c:pt>
                <c:pt idx="5">
                  <c:v>120132.74498229832</c:v>
                </c:pt>
                <c:pt idx="6">
                  <c:v>145574.33751414737</c:v>
                </c:pt>
                <c:pt idx="7">
                  <c:v>173836.33666437457</c:v>
                </c:pt>
                <c:pt idx="8">
                  <c:v>199415.5418126318</c:v>
                </c:pt>
                <c:pt idx="9">
                  <c:v>226021.28964540915</c:v>
                </c:pt>
                <c:pt idx="10">
                  <c:v>254181.07994656975</c:v>
                </c:pt>
                <c:pt idx="11">
                  <c:v>280843.16937221808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69-4032-BCEA-38D7251D6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3175">
              <a:solidFill>
                <a:srgbClr val="000000"/>
              </a:solidFill>
              <a:prstDash val="solid"/>
            </a:ln>
          </c:spPr>
        </c:dropLines>
        <c:axId val="184322688"/>
        <c:axId val="184336768"/>
        <c:axId val="165544384"/>
      </c:area3DChart>
      <c:dateAx>
        <c:axId val="1843226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3676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4336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22688"/>
        <c:crosses val="autoZero"/>
        <c:crossBetween val="midCat"/>
      </c:valAx>
      <c:serAx>
        <c:axId val="165544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4336768"/>
        <c:crosses val="autoZero"/>
        <c:tickMarkSkip val="1"/>
      </c:ser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29605405745813157"/>
          <c:y val="0.19996885225718974"/>
          <c:w val="0.45240687084182496"/>
          <c:h val="3.7209533132424095E-2"/>
        </c:manualLayout>
      </c:layout>
      <c:overlay val="0"/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Monthly Minutes and Avg Cost Per Phone</a:t>
            </a:r>
          </a:p>
        </c:rich>
      </c:tx>
      <c:layout>
        <c:manualLayout>
          <c:xMode val="edge"/>
          <c:yMode val="edge"/>
          <c:x val="0.24050551864592767"/>
          <c:y val="8.15660480674576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421753607103219"/>
          <c:y val="0.2365415986949429"/>
          <c:w val="0.67702552719200892"/>
          <c:h val="0.53507340946166393"/>
        </c:manualLayout>
      </c:layout>
      <c:lineChart>
        <c:grouping val="stacked"/>
        <c:varyColors val="0"/>
        <c:ser>
          <c:idx val="0"/>
          <c:order val="0"/>
          <c:tx>
            <c:v>Monthly Minutes of Use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3"/>
              <c:layout>
                <c:manualLayout>
                  <c:x val="-3.6747275611460503E-2"/>
                  <c:y val="2.7972699192305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D5-45B9-A549-0BE2431931EC}"/>
                </c:ext>
              </c:extLst>
            </c:dLbl>
            <c:dLbl>
              <c:idx val="4"/>
              <c:layout>
                <c:manualLayout>
                  <c:x val="-4.4166459377398513E-2"/>
                  <c:y val="-3.52671777483547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D5-45B9-A549-0BE2431931EC}"/>
                </c:ext>
              </c:extLst>
            </c:dLbl>
            <c:dLbl>
              <c:idx val="5"/>
              <c:layout>
                <c:manualLayout>
                  <c:x val="-3.3779602105085321E-2"/>
                  <c:y val="-2.87251215131140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D5-45B9-A549-0BE2431931EC}"/>
                </c:ext>
              </c:extLst>
            </c:dLbl>
            <c:dLbl>
              <c:idx val="9"/>
              <c:layout>
                <c:manualLayout>
                  <c:x val="-3.0260104899079824E-2"/>
                  <c:y val="2.91770556866351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4E-4EF0-BB28-451225BD765B}"/>
                </c:ext>
              </c:extLst>
            </c:dLbl>
            <c:numFmt formatCode="#,##0" sourceLinked="0"/>
            <c:spPr>
              <a:solidFill>
                <a:schemeClr val="accent1">
                  <a:lumMod val="20000"/>
                  <a:lumOff val="80000"/>
                </a:scheme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DataSource_1!$G$5:$G$16</c:f>
              <c:numCache>
                <c:formatCode>#,##0</c:formatCode>
                <c:ptCount val="12"/>
                <c:pt idx="0">
                  <c:v>175781.09999999998</c:v>
                </c:pt>
                <c:pt idx="1">
                  <c:v>193710.6</c:v>
                </c:pt>
                <c:pt idx="2">
                  <c:v>213493.3</c:v>
                </c:pt>
                <c:pt idx="3">
                  <c:v>215067.40000000002</c:v>
                </c:pt>
                <c:pt idx="4">
                  <c:v>241373.4</c:v>
                </c:pt>
                <c:pt idx="5">
                  <c:v>240571</c:v>
                </c:pt>
                <c:pt idx="6">
                  <c:v>202948.2</c:v>
                </c:pt>
                <c:pt idx="7">
                  <c:v>216164.60000000003</c:v>
                </c:pt>
                <c:pt idx="8">
                  <c:v>204332.3</c:v>
                </c:pt>
                <c:pt idx="9">
                  <c:v>210447.8</c:v>
                </c:pt>
                <c:pt idx="10">
                  <c:v>217479</c:v>
                </c:pt>
                <c:pt idx="11">
                  <c:v>204421.1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4E-4EF0-BB28-451225BD7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961088"/>
        <c:axId val="183962624"/>
      </c:lineChart>
      <c:lineChart>
        <c:grouping val="standard"/>
        <c:varyColors val="0"/>
        <c:ser>
          <c:idx val="1"/>
          <c:order val="1"/>
          <c:tx>
            <c:v>Average Cost/ Phone</c:v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numFmt formatCode="\$#,##0" sourceLinked="0"/>
            <c:spPr>
              <a:solidFill>
                <a:schemeClr val="accent6">
                  <a:lumMod val="20000"/>
                  <a:lumOff val="80000"/>
                </a:schemeClr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DataSource_1!$I$5:$I$16</c:f>
              <c:numCache>
                <c:formatCode>"$"#,##0.00</c:formatCode>
                <c:ptCount val="12"/>
                <c:pt idx="0">
                  <c:v>109.91374133949192</c:v>
                </c:pt>
                <c:pt idx="1">
                  <c:v>122.52715231788079</c:v>
                </c:pt>
                <c:pt idx="2">
                  <c:v>71.048282608695658</c:v>
                </c:pt>
                <c:pt idx="3">
                  <c:v>74.048997912317333</c:v>
                </c:pt>
                <c:pt idx="4">
                  <c:v>76.485083333333321</c:v>
                </c:pt>
                <c:pt idx="5">
                  <c:v>75.092050209204999</c:v>
                </c:pt>
                <c:pt idx="6">
                  <c:v>66.891820040899788</c:v>
                </c:pt>
                <c:pt idx="7">
                  <c:v>68.86840490797546</c:v>
                </c:pt>
                <c:pt idx="8">
                  <c:v>67.146802443991859</c:v>
                </c:pt>
                <c:pt idx="9">
                  <c:v>70.787478991596629</c:v>
                </c:pt>
                <c:pt idx="10">
                  <c:v>70.569173553719011</c:v>
                </c:pt>
                <c:pt idx="11">
                  <c:v>66.621377870563677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4E-4EF0-BB28-451225BD7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smooth val="0"/>
        <c:axId val="183972608"/>
        <c:axId val="183974144"/>
      </c:lineChart>
      <c:dateAx>
        <c:axId val="18396108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crossAx val="1839626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3962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961088"/>
        <c:crosses val="autoZero"/>
        <c:crossBetween val="between"/>
      </c:valAx>
      <c:dateAx>
        <c:axId val="183972608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183974144"/>
        <c:crosses val="autoZero"/>
        <c:auto val="1"/>
        <c:lblOffset val="100"/>
        <c:baseTimeUnit val="months"/>
      </c:dateAx>
      <c:valAx>
        <c:axId val="183974144"/>
        <c:scaling>
          <c:orientation val="minMax"/>
        </c:scaling>
        <c:delete val="0"/>
        <c:axPos val="r"/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972608"/>
        <c:crosses val="max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31165537412373306"/>
          <c:y val="0.18906542519845526"/>
          <c:w val="0.41230133382903611"/>
          <c:h val="3.52773084916061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Usage Cost-Per-Minute &amp;</a:t>
            </a:r>
            <a:r>
              <a:rPr lang="en-US" baseline="0"/>
              <a:t> Total </a:t>
            </a:r>
            <a:r>
              <a:rPr lang="en-US"/>
              <a:t>Usage Cost</a:t>
            </a:r>
          </a:p>
        </c:rich>
      </c:tx>
      <c:layout>
        <c:manualLayout>
          <c:xMode val="edge"/>
          <c:yMode val="edge"/>
          <c:x val="0.23663398993304391"/>
          <c:y val="9.02887897144452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536071032186459"/>
          <c:y val="0.27406199021207178"/>
          <c:w val="0.76914539400665927"/>
          <c:h val="0.55954323001631323"/>
        </c:manualLayout>
      </c:layout>
      <c:barChart>
        <c:barDir val="col"/>
        <c:grouping val="clustered"/>
        <c:varyColors val="0"/>
        <c:ser>
          <c:idx val="0"/>
          <c:order val="0"/>
          <c:tx>
            <c:v>Usage Cost</c:v>
          </c:tx>
          <c:invertIfNegative val="0"/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DataSource_1!$AD$5:$AD$16</c:f>
              <c:numCache>
                <c:formatCode>"$"#,##0</c:formatCode>
                <c:ptCount val="12"/>
                <c:pt idx="0">
                  <c:v>24526.84</c:v>
                </c:pt>
                <c:pt idx="1">
                  <c:v>31104.01</c:v>
                </c:pt>
                <c:pt idx="2">
                  <c:v>8027.5400000000045</c:v>
                </c:pt>
                <c:pt idx="3">
                  <c:v>9784.0700000000033</c:v>
                </c:pt>
                <c:pt idx="4">
                  <c:v>11070.209999999995</c:v>
                </c:pt>
                <c:pt idx="5">
                  <c:v>10359.729999999992</c:v>
                </c:pt>
                <c:pt idx="6">
                  <c:v>6787.8899999999994</c:v>
                </c:pt>
                <c:pt idx="7">
                  <c:v>8135.8299999999981</c:v>
                </c:pt>
                <c:pt idx="8">
                  <c:v>7432.6800000000039</c:v>
                </c:pt>
                <c:pt idx="9">
                  <c:v>8645.489999999998</c:v>
                </c:pt>
                <c:pt idx="10">
                  <c:v>8845.5400000000009</c:v>
                </c:pt>
                <c:pt idx="11">
                  <c:v>6786.7200000000012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8C-4BD8-BBBE-5CD8A65E0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264192"/>
        <c:axId val="184265728"/>
      </c:barChart>
      <c:lineChart>
        <c:grouping val="standard"/>
        <c:varyColors val="0"/>
        <c:ser>
          <c:idx val="1"/>
          <c:order val="1"/>
          <c:tx>
            <c:v>Usage Cost Per Min</c:v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3.1160571816939438E-2"/>
                  <c:y val="-2.18068541174689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4C-4834-B28F-73B19A0DE189}"/>
                </c:ext>
              </c:extLst>
            </c:dLbl>
            <c:dLbl>
              <c:idx val="2"/>
              <c:layout>
                <c:manualLayout>
                  <c:x val="-2.5225224804189046E-2"/>
                  <c:y val="2.18068541174688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4C-4834-B28F-73B19A0DE189}"/>
                </c:ext>
              </c:extLst>
            </c:dLbl>
            <c:dLbl>
              <c:idx val="3"/>
              <c:layout>
                <c:manualLayout>
                  <c:x val="-3.2644408570127056E-2"/>
                  <c:y val="-2.39875395292158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4C-4834-B28F-73B19A0DE189}"/>
                </c:ext>
              </c:extLst>
            </c:dLbl>
            <c:dLbl>
              <c:idx val="4"/>
              <c:layout>
                <c:manualLayout>
                  <c:x val="-3.1160571816939465E-2"/>
                  <c:y val="-3.05295957644565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4C-4834-B28F-73B19A0DE189}"/>
                </c:ext>
              </c:extLst>
            </c:dLbl>
            <c:dLbl>
              <c:idx val="5"/>
              <c:layout>
                <c:manualLayout>
                  <c:x val="-3.2644408570127001E-2"/>
                  <c:y val="-3.92523374114439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4C-4834-B28F-73B19A0DE189}"/>
                </c:ext>
              </c:extLst>
            </c:dLbl>
            <c:dLbl>
              <c:idx val="6"/>
              <c:layout>
                <c:manualLayout>
                  <c:x val="-2.9676735063751819E-2"/>
                  <c:y val="-2.39875395292157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4C-4834-B28F-73B19A0DE189}"/>
                </c:ext>
              </c:extLst>
            </c:dLbl>
            <c:dLbl>
              <c:idx val="7"/>
              <c:layout>
                <c:manualLayout>
                  <c:x val="-3.116057181693941E-2"/>
                  <c:y val="-2.83489103527095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4C-4834-B28F-73B19A0DE189}"/>
                </c:ext>
              </c:extLst>
            </c:dLbl>
            <c:dLbl>
              <c:idx val="8"/>
              <c:layout>
                <c:manualLayout>
                  <c:x val="-2.9676735063751819E-2"/>
                  <c:y val="-3.2710281176203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4C-4834-B28F-73B19A0DE189}"/>
                </c:ext>
              </c:extLst>
            </c:dLbl>
            <c:dLbl>
              <c:idx val="9"/>
              <c:layout>
                <c:manualLayout>
                  <c:x val="-2.8192898310564336E-2"/>
                  <c:y val="-2.61682249409626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4C-4834-B28F-73B19A0DE189}"/>
                </c:ext>
              </c:extLst>
            </c:dLbl>
            <c:dLbl>
              <c:idx val="10"/>
              <c:layout>
                <c:manualLayout>
                  <c:x val="-2.8192898310564121E-2"/>
                  <c:y val="-2.39875395292157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44C-4834-B28F-73B19A0DE189}"/>
                </c:ext>
              </c:extLst>
            </c:dLbl>
            <c:dLbl>
              <c:idx val="11"/>
              <c:layout>
                <c:manualLayout>
                  <c:x val="-3.116057181693941E-2"/>
                  <c:y val="-2.61682249409626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4C-4834-B28F-73B19A0DE189}"/>
                </c:ext>
              </c:extLst>
            </c:dLbl>
            <c:spPr>
              <a:solidFill>
                <a:schemeClr val="bg1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DataSource_1!$AF$5:$AF$16</c:f>
              <c:numCache>
                <c:formatCode>"$"#,##0.00</c:formatCode>
                <c:ptCount val="12"/>
                <c:pt idx="0">
                  <c:v>0.27074952881737574</c:v>
                </c:pt>
                <c:pt idx="1">
                  <c:v>0.28653465530538852</c:v>
                </c:pt>
                <c:pt idx="2">
                  <c:v>0.15308307099098661</c:v>
                </c:pt>
                <c:pt idx="3">
                  <c:v>0.16492257775934427</c:v>
                </c:pt>
                <c:pt idx="4">
                  <c:v>0.15209977570022212</c:v>
                </c:pt>
                <c:pt idx="5">
                  <c:v>0.1492033536876847</c:v>
                </c:pt>
                <c:pt idx="6">
                  <c:v>0.16117462485501224</c:v>
                </c:pt>
                <c:pt idx="7">
                  <c:v>0.15579169762301504</c:v>
                </c:pt>
                <c:pt idx="8">
                  <c:v>0.16135031025442381</c:v>
                </c:pt>
                <c:pt idx="9">
                  <c:v>0.16011020310024623</c:v>
                </c:pt>
                <c:pt idx="10">
                  <c:v>0.15705185328238591</c:v>
                </c:pt>
                <c:pt idx="11">
                  <c:v>0.15610736856420399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08C-4BD8-BBBE-5CD8A65E0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275712"/>
        <c:axId val="184277632"/>
      </c:lineChart>
      <c:dateAx>
        <c:axId val="18426419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crossAx val="1842657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4265728"/>
        <c:scaling>
          <c:orientation val="minMax"/>
        </c:scaling>
        <c:delete val="0"/>
        <c:axPos val="l"/>
        <c:numFmt formatCode="\$#.0," sourceLinked="0"/>
        <c:majorTickMark val="out"/>
        <c:minorTickMark val="none"/>
        <c:tickLblPos val="nextTo"/>
        <c:spPr>
          <a:ln w="3175">
            <a:solidFill>
              <a:srgbClr val="003366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64192"/>
        <c:crosses val="autoZero"/>
        <c:crossBetween val="between"/>
      </c:valAx>
      <c:dateAx>
        <c:axId val="184275712"/>
        <c:scaling>
          <c:orientation val="minMax"/>
        </c:scaling>
        <c:delete val="1"/>
        <c:axPos val="t"/>
        <c:numFmt formatCode="mmm\ yyyy" sourceLinked="1"/>
        <c:majorTickMark val="cross"/>
        <c:minorTickMark val="none"/>
        <c:tickLblPos val="nextTo"/>
        <c:crossAx val="184277632"/>
        <c:crosses val="max"/>
        <c:auto val="1"/>
        <c:lblOffset val="100"/>
        <c:baseTimeUnit val="months"/>
        <c:majorUnit val="1"/>
        <c:minorUnit val="1"/>
      </c:dateAx>
      <c:valAx>
        <c:axId val="184277632"/>
        <c:scaling>
          <c:orientation val="minMax"/>
        </c:scaling>
        <c:delete val="0"/>
        <c:axPos val="r"/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75712"/>
        <c:crosses val="max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25400">
          <a:noFill/>
        </a:ln>
      </c:spPr>
    </c:plotArea>
    <c:legend>
      <c:legendPos val="t"/>
      <c:layout>
        <c:manualLayout>
          <c:xMode val="edge"/>
          <c:yMode val="edge"/>
          <c:x val="0.34148761995272053"/>
          <c:y val="0.19996885225718974"/>
          <c:w val="0.33779835780164563"/>
          <c:h val="3.7209533132424095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Usage Overview</a:t>
            </a:r>
          </a:p>
        </c:rich>
      </c:tx>
      <c:layout>
        <c:manualLayout>
          <c:xMode val="edge"/>
          <c:yMode val="edge"/>
          <c:x val="0.39327071853801654"/>
          <c:y val="6.9563864634725747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57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875693673695893"/>
          <c:y val="0.20065252854812399"/>
          <c:w val="0.87569367369589346"/>
          <c:h val="0.53996737357259383"/>
        </c:manualLayout>
      </c:layout>
      <c:bar3DChart>
        <c:barDir val="col"/>
        <c:grouping val="stacked"/>
        <c:varyColors val="0"/>
        <c:ser>
          <c:idx val="0"/>
          <c:order val="0"/>
          <c:tx>
            <c:v>Plan Charge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3B00" mc:Ignorable="a14" a14:legacySpreadsheetColorIndex="17">
                    <a:gamma/>
                    <a:shade val="4627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8000" mc:Ignorable="a14" a14:legacySpreadsheetColorIndex="17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9676735063751277E-3"/>
                  <c:y val="-3.92523374114439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A9-4069-BFAF-D8D6B714F14F}"/>
                </c:ext>
              </c:extLst>
            </c:dLbl>
            <c:dLbl>
              <c:idx val="2"/>
              <c:layout>
                <c:manualLayout>
                  <c:x val="-1.483836753187591E-3"/>
                  <c:y val="-4.36137082349377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A9-4069-BFAF-D8D6B714F14F}"/>
                </c:ext>
              </c:extLst>
            </c:dLbl>
            <c:dLbl>
              <c:idx val="4"/>
              <c:layout>
                <c:manualLayout>
                  <c:x val="4.4515102595627182E-3"/>
                  <c:y val="-3.48909665879502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A9-4069-BFAF-D8D6B714F14F}"/>
                </c:ext>
              </c:extLst>
            </c:dLbl>
            <c:dLbl>
              <c:idx val="6"/>
              <c:layout>
                <c:manualLayout>
                  <c:x val="2.9676735063751819E-3"/>
                  <c:y val="-3.707165199969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A9-4069-BFAF-D8D6B714F14F}"/>
                </c:ext>
              </c:extLst>
            </c:dLbl>
            <c:dLbl>
              <c:idx val="8"/>
              <c:layout>
                <c:manualLayout>
                  <c:x val="0"/>
                  <c:y val="-3.48909665879502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A9-4069-BFAF-D8D6B714F14F}"/>
                </c:ext>
              </c:extLst>
            </c:dLbl>
            <c:dLbl>
              <c:idx val="10"/>
              <c:layout>
                <c:manualLayout>
                  <c:x val="0"/>
                  <c:y val="-3.48909665879502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A9-4069-BFAF-D8D6B714F14F}"/>
                </c:ext>
              </c:extLst>
            </c:dLbl>
            <c:spPr>
              <a:solidFill>
                <a:schemeClr val="accent6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DataSource_1!$U$5:$U$16</c:f>
              <c:numCache>
                <c:formatCode>"$"#,##0</c:formatCode>
                <c:ptCount val="12"/>
                <c:pt idx="0">
                  <c:v>23065.81</c:v>
                </c:pt>
                <c:pt idx="1">
                  <c:v>24400.789999999997</c:v>
                </c:pt>
                <c:pt idx="2">
                  <c:v>24654.67</c:v>
                </c:pt>
                <c:pt idx="3">
                  <c:v>25685.399999999998</c:v>
                </c:pt>
                <c:pt idx="4">
                  <c:v>25642.63</c:v>
                </c:pt>
                <c:pt idx="5">
                  <c:v>25534.27</c:v>
                </c:pt>
                <c:pt idx="6">
                  <c:v>25922.21</c:v>
                </c:pt>
                <c:pt idx="7">
                  <c:v>25540.820000000003</c:v>
                </c:pt>
                <c:pt idx="8">
                  <c:v>25536.399999999998</c:v>
                </c:pt>
                <c:pt idx="9">
                  <c:v>25049.35</c:v>
                </c:pt>
                <c:pt idx="10">
                  <c:v>25309.940000000002</c:v>
                </c:pt>
                <c:pt idx="11">
                  <c:v>25124.920000000002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7-472D-B1E7-A0857989F680}"/>
            </c:ext>
          </c:extLst>
        </c:ser>
        <c:ser>
          <c:idx val="2"/>
          <c:order val="1"/>
          <c:tx>
            <c:v>Overage Cost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0000" mc:Ignorable="a14" a14:legacySpreadsheetColorIndex="10"/>
                </a:gs>
                <a:gs pos="100000">
                  <a:srgbClr xmlns:mc="http://schemas.openxmlformats.org/markup-compatibility/2006" xmlns:a14="http://schemas.microsoft.com/office/drawing/2010/main" val="760000" mc:Ignorable="a14" a14:legacySpreadsheetColorIndex="10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4.4515102595627729E-3"/>
                  <c:y val="3.27102811762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A9-4069-BFAF-D8D6B714F14F}"/>
                </c:ext>
              </c:extLst>
            </c:dLbl>
            <c:dLbl>
              <c:idx val="3"/>
              <c:layout>
                <c:manualLayout>
                  <c:x val="-2.9676735063752365E-3"/>
                  <c:y val="3.70716519996971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A9-4069-BFAF-D8D6B714F14F}"/>
                </c:ext>
              </c:extLst>
            </c:dLbl>
            <c:dLbl>
              <c:idx val="4"/>
              <c:layout>
                <c:manualLayout>
                  <c:x val="-5.4406719105816517E-17"/>
                  <c:y val="4.14330228231908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A9-4069-BFAF-D8D6B714F14F}"/>
                </c:ext>
              </c:extLst>
            </c:dLbl>
            <c:dLbl>
              <c:idx val="5"/>
              <c:layout>
                <c:manualLayout>
                  <c:x val="-1.483836753187591E-3"/>
                  <c:y val="3.92523374114439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A9-4069-BFAF-D8D6B714F14F}"/>
                </c:ext>
              </c:extLst>
            </c:dLbl>
            <c:dLbl>
              <c:idx val="6"/>
              <c:layout>
                <c:manualLayout>
                  <c:x val="2.9676735063751819E-3"/>
                  <c:y val="2.61682249409625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A9-4069-BFAF-D8D6B714F14F}"/>
                </c:ext>
              </c:extLst>
            </c:dLbl>
            <c:dLbl>
              <c:idx val="7"/>
              <c:layout>
                <c:manualLayout>
                  <c:x val="2.9676735063751819E-3"/>
                  <c:y val="3.70716519996971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A9-4069-BFAF-D8D6B714F14F}"/>
                </c:ext>
              </c:extLst>
            </c:dLbl>
            <c:dLbl>
              <c:idx val="8"/>
              <c:layout>
                <c:manualLayout>
                  <c:x val="1.483836753187591E-3"/>
                  <c:y val="2.39875395292157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A9-4069-BFAF-D8D6B714F14F}"/>
                </c:ext>
              </c:extLst>
            </c:dLbl>
            <c:dLbl>
              <c:idx val="9"/>
              <c:layout>
                <c:manualLayout>
                  <c:x val="1.4838367531874821E-3"/>
                  <c:y val="3.27102811762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7A9-4069-BFAF-D8D6B714F14F}"/>
                </c:ext>
              </c:extLst>
            </c:dLbl>
            <c:dLbl>
              <c:idx val="10"/>
              <c:layout>
                <c:manualLayout>
                  <c:x val="1.4838367531874821E-3"/>
                  <c:y val="3.271028117620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7A9-4069-BFAF-D8D6B714F14F}"/>
                </c:ext>
              </c:extLst>
            </c:dLbl>
            <c:dLbl>
              <c:idx val="11"/>
              <c:layout>
                <c:manualLayout>
                  <c:x val="2.9676735063751819E-3"/>
                  <c:y val="3.48909665879502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7A9-4069-BFAF-D8D6B714F14F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DataSource_1!$V$5:$V$16</c:f>
              <c:numCache>
                <c:formatCode>"$"#,##0</c:formatCode>
                <c:ptCount val="12"/>
                <c:pt idx="0">
                  <c:v>16511.370000000003</c:v>
                </c:pt>
                <c:pt idx="1">
                  <c:v>21731.660000000003</c:v>
                </c:pt>
                <c:pt idx="2">
                  <c:v>1807.5199999999998</c:v>
                </c:pt>
                <c:pt idx="3">
                  <c:v>2017.85</c:v>
                </c:pt>
                <c:pt idx="4">
                  <c:v>4456.3499999999995</c:v>
                </c:pt>
                <c:pt idx="5">
                  <c:v>3889.6599999999994</c:v>
                </c:pt>
                <c:pt idx="6">
                  <c:v>541.5</c:v>
                </c:pt>
                <c:pt idx="7">
                  <c:v>2130.8100000000004</c:v>
                </c:pt>
                <c:pt idx="8">
                  <c:v>334.75</c:v>
                </c:pt>
                <c:pt idx="9">
                  <c:v>1959.69</c:v>
                </c:pt>
                <c:pt idx="10">
                  <c:v>2076.0199999999995</c:v>
                </c:pt>
                <c:pt idx="11">
                  <c:v>735.8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7-472D-B1E7-A0857989F680}"/>
            </c:ext>
          </c:extLst>
        </c:ser>
        <c:ser>
          <c:idx val="4"/>
          <c:order val="2"/>
          <c:tx>
            <c:v>Long Distance Cost</c:v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DataSource_1!$X$5:$X$16</c:f>
              <c:numCache>
                <c:formatCode>"$"#,##0</c:formatCode>
                <c:ptCount val="12"/>
                <c:pt idx="0">
                  <c:v>206.82</c:v>
                </c:pt>
                <c:pt idx="1">
                  <c:v>248.88</c:v>
                </c:pt>
                <c:pt idx="2">
                  <c:v>210.34</c:v>
                </c:pt>
                <c:pt idx="3">
                  <c:v>155.46999999999997</c:v>
                </c:pt>
                <c:pt idx="4">
                  <c:v>136.47999999999999</c:v>
                </c:pt>
                <c:pt idx="5">
                  <c:v>139.16</c:v>
                </c:pt>
                <c:pt idx="6">
                  <c:v>170.73999999999998</c:v>
                </c:pt>
                <c:pt idx="7">
                  <c:v>107.52</c:v>
                </c:pt>
                <c:pt idx="8">
                  <c:v>87.32</c:v>
                </c:pt>
                <c:pt idx="9">
                  <c:v>42.32</c:v>
                </c:pt>
                <c:pt idx="10">
                  <c:v>25.970000000000002</c:v>
                </c:pt>
                <c:pt idx="11">
                  <c:v>53.32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7-472D-B1E7-A0857989F680}"/>
            </c:ext>
          </c:extLst>
        </c:ser>
        <c:ser>
          <c:idx val="3"/>
          <c:order val="3"/>
          <c:tx>
            <c:v>Roaming Charge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760076" mc:Ignorable="a14" a14:legacySpreadsheetColorIndex="14">
                    <a:gamma/>
                    <a:shade val="4627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00FF" mc:Ignorable="a14" a14:legacySpreadsheetColorIndex="14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DataSource_1!$Z$5:$Z$16</c:f>
              <c:numCache>
                <c:formatCode>"$"#,##0</c:formatCode>
                <c:ptCount val="12"/>
                <c:pt idx="0">
                  <c:v>43.69</c:v>
                </c:pt>
                <c:pt idx="1">
                  <c:v>129.79</c:v>
                </c:pt>
                <c:pt idx="2">
                  <c:v>254.7</c:v>
                </c:pt>
                <c:pt idx="3">
                  <c:v>210.09</c:v>
                </c:pt>
                <c:pt idx="4">
                  <c:v>98.13</c:v>
                </c:pt>
                <c:pt idx="5">
                  <c:v>105.21</c:v>
                </c:pt>
                <c:pt idx="6">
                  <c:v>70.240000000000009</c:v>
                </c:pt>
                <c:pt idx="7">
                  <c:v>108.91999999999999</c:v>
                </c:pt>
                <c:pt idx="8">
                  <c:v>101.28</c:v>
                </c:pt>
                <c:pt idx="9">
                  <c:v>443.59</c:v>
                </c:pt>
                <c:pt idx="10">
                  <c:v>256.45000000000005</c:v>
                </c:pt>
                <c:pt idx="11">
                  <c:v>56.83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7-472D-B1E7-A0857989F680}"/>
            </c:ext>
          </c:extLst>
        </c:ser>
        <c:ser>
          <c:idx val="5"/>
          <c:order val="4"/>
          <c:tx>
            <c:v>International Calling Charge</c:v>
          </c:tx>
          <c:spPr>
            <a:solidFill>
              <a:schemeClr val="accent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DataSource_1!$AB$5:$AB$16</c:f>
              <c:numCache>
                <c:formatCode>"$"#,##0</c:formatCode>
                <c:ptCount val="12"/>
                <c:pt idx="0">
                  <c:v>160.38</c:v>
                </c:pt>
                <c:pt idx="1">
                  <c:v>431.65999999999997</c:v>
                </c:pt>
                <c:pt idx="2">
                  <c:v>100.72</c:v>
                </c:pt>
                <c:pt idx="3">
                  <c:v>124.77</c:v>
                </c:pt>
                <c:pt idx="4">
                  <c:v>42.36</c:v>
                </c:pt>
                <c:pt idx="5">
                  <c:v>130.44</c:v>
                </c:pt>
                <c:pt idx="6">
                  <c:v>60.64</c:v>
                </c:pt>
                <c:pt idx="7">
                  <c:v>4.07</c:v>
                </c:pt>
                <c:pt idx="8">
                  <c:v>176.73</c:v>
                </c:pt>
                <c:pt idx="9">
                  <c:v>204.91</c:v>
                </c:pt>
                <c:pt idx="10">
                  <c:v>100.98</c:v>
                </c:pt>
                <c:pt idx="11">
                  <c:v>26.15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7-472D-B1E7-A0857989F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4040448"/>
        <c:axId val="184054528"/>
        <c:axId val="0"/>
      </c:bar3DChart>
      <c:dateAx>
        <c:axId val="184040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0545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4054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04044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5.4451551152701637E-2"/>
          <c:y val="0.14327103155177059"/>
          <c:w val="0.89999991821372216"/>
          <c:h val="4.203468594781775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Monthly Minutes and Cost Per Minute</a:t>
            </a:r>
          </a:p>
        </c:rich>
      </c:tx>
      <c:layout>
        <c:manualLayout>
          <c:xMode val="edge"/>
          <c:yMode val="edge"/>
          <c:x val="0.25971143174250833"/>
          <c:y val="8.15660685154975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421753607103219"/>
          <c:y val="0.19412724306688417"/>
          <c:w val="0.69478357380688127"/>
          <c:h val="0.62969004893964109"/>
        </c:manualLayout>
      </c:layout>
      <c:lineChart>
        <c:grouping val="stacked"/>
        <c:varyColors val="0"/>
        <c:ser>
          <c:idx val="0"/>
          <c:order val="0"/>
          <c:tx>
            <c:v>Monthly Minutes of Use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DataSource_1!$G$5:$G$16</c:f>
              <c:numCache>
                <c:formatCode>#,##0</c:formatCode>
                <c:ptCount val="12"/>
                <c:pt idx="0">
                  <c:v>175781.09999999998</c:v>
                </c:pt>
                <c:pt idx="1">
                  <c:v>193710.6</c:v>
                </c:pt>
                <c:pt idx="2">
                  <c:v>213493.3</c:v>
                </c:pt>
                <c:pt idx="3">
                  <c:v>215067.40000000002</c:v>
                </c:pt>
                <c:pt idx="4">
                  <c:v>241373.4</c:v>
                </c:pt>
                <c:pt idx="5">
                  <c:v>240571</c:v>
                </c:pt>
                <c:pt idx="6">
                  <c:v>202948.2</c:v>
                </c:pt>
                <c:pt idx="7">
                  <c:v>216164.60000000003</c:v>
                </c:pt>
                <c:pt idx="8">
                  <c:v>204332.3</c:v>
                </c:pt>
                <c:pt idx="9">
                  <c:v>210447.8</c:v>
                </c:pt>
                <c:pt idx="10">
                  <c:v>217479</c:v>
                </c:pt>
                <c:pt idx="11">
                  <c:v>204421.1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63-4E90-A3AF-8B3BFBAC1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876992"/>
        <c:axId val="183891072"/>
      </c:lineChart>
      <c:lineChart>
        <c:grouping val="standard"/>
        <c:varyColors val="0"/>
        <c:ser>
          <c:idx val="1"/>
          <c:order val="1"/>
          <c:tx>
            <c:v>Cost Per Minute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numFmt formatCode="\$#,##0.00" sourceLinked="0"/>
            <c:spPr>
              <a:solidFill>
                <a:sysClr val="window" lastClr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DataSource_1!$S$5:$S$16</c:f>
              <c:numCache>
                <c:formatCode>#,##0.00</c:formatCode>
                <c:ptCount val="12"/>
                <c:pt idx="0">
                  <c:v>0.27074952881737574</c:v>
                </c:pt>
                <c:pt idx="1">
                  <c:v>0.28653465530538852</c:v>
                </c:pt>
                <c:pt idx="2">
                  <c:v>0.15308307099098661</c:v>
                </c:pt>
                <c:pt idx="3">
                  <c:v>0.16492257775934427</c:v>
                </c:pt>
                <c:pt idx="4">
                  <c:v>0.15209977570022212</c:v>
                </c:pt>
                <c:pt idx="5">
                  <c:v>0.1492033536876847</c:v>
                </c:pt>
                <c:pt idx="6">
                  <c:v>0.16117462485501224</c:v>
                </c:pt>
                <c:pt idx="7">
                  <c:v>0.15579169762301504</c:v>
                </c:pt>
                <c:pt idx="8">
                  <c:v>0.16135031025442381</c:v>
                </c:pt>
                <c:pt idx="9">
                  <c:v>0.16011020310024623</c:v>
                </c:pt>
                <c:pt idx="10">
                  <c:v>0.15705185328238591</c:v>
                </c:pt>
                <c:pt idx="11">
                  <c:v>0.15610736856420399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463-4E90-A3AF-8B3BFBAC1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smooth val="0"/>
        <c:axId val="183892992"/>
        <c:axId val="183902976"/>
      </c:lineChart>
      <c:dateAx>
        <c:axId val="18387699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crossAx val="1838910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3891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Monthly Min</a:t>
                </a:r>
              </a:p>
            </c:rich>
          </c:tx>
          <c:layout>
            <c:manualLayout>
              <c:xMode val="edge"/>
              <c:yMode val="edge"/>
              <c:x val="1.3318534961154272E-2"/>
              <c:y val="0.45187601957585644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876992"/>
        <c:crosses val="autoZero"/>
        <c:crossBetween val="between"/>
      </c:valAx>
      <c:dateAx>
        <c:axId val="183892992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183902976"/>
        <c:crosses val="autoZero"/>
        <c:auto val="1"/>
        <c:lblOffset val="100"/>
        <c:baseTimeUnit val="months"/>
      </c:dateAx>
      <c:valAx>
        <c:axId val="183902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Cost Per Min</a:t>
                </a:r>
              </a:p>
            </c:rich>
          </c:tx>
          <c:layout>
            <c:manualLayout>
              <c:xMode val="edge"/>
              <c:yMode val="edge"/>
              <c:x val="0.94783573806881238"/>
              <c:y val="0.44861337683523655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892992"/>
        <c:crosses val="max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30042097733900869"/>
          <c:y val="0.14327103155177059"/>
          <c:w val="0.39915792848444304"/>
          <c:h val="3.7209533132424095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800" b="1" i="0" u="sng" strike="noStrike" baseline="0">
                <a:solidFill>
                  <a:srgbClr val="000000"/>
                </a:solidFill>
                <a:latin typeface="Arial"/>
                <a:cs typeface="Arial"/>
              </a:rPr>
              <a:t>Savings vs. Minutes of Use</a:t>
            </a:r>
          </a:p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sng" strike="noStrike" baseline="0">
                <a:solidFill>
                  <a:srgbClr val="000000"/>
                </a:solidFill>
                <a:latin typeface="Arial"/>
                <a:cs typeface="Arial"/>
              </a:rPr>
              <a:t>(Comprehensive)</a:t>
            </a:r>
          </a:p>
        </c:rich>
      </c:tx>
      <c:layout>
        <c:manualLayout>
          <c:xMode val="edge"/>
          <c:yMode val="edge"/>
          <c:x val="0.31852296786511997"/>
          <c:y val="5.591363249475390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45948945615981"/>
          <c:y val="0.22512234910277323"/>
          <c:w val="0.72031076581576026"/>
          <c:h val="0.49429037520391517"/>
        </c:manualLayout>
      </c:layout>
      <c:lineChart>
        <c:grouping val="standard"/>
        <c:varyColors val="0"/>
        <c:ser>
          <c:idx val="14"/>
          <c:order val="2"/>
          <c:tx>
            <c:v>Monthly Mins. of Use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8"/>
              <c:layout>
                <c:manualLayout>
                  <c:x val="-1.4838367531876998E-3"/>
                  <c:y val="-3.4890966587950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D7-4248-8F81-8E6489A37D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FF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DataSource_1!$Q$5:$Q$16</c:f>
              <c:numCache>
                <c:formatCode>#,##0</c:formatCode>
                <c:ptCount val="12"/>
                <c:pt idx="0">
                  <c:v>175781.09999999998</c:v>
                </c:pt>
                <c:pt idx="1">
                  <c:v>193710.6</c:v>
                </c:pt>
                <c:pt idx="2">
                  <c:v>213493.3</c:v>
                </c:pt>
                <c:pt idx="3">
                  <c:v>215067.40000000002</c:v>
                </c:pt>
                <c:pt idx="4">
                  <c:v>241373.4</c:v>
                </c:pt>
                <c:pt idx="5">
                  <c:v>240571</c:v>
                </c:pt>
                <c:pt idx="6">
                  <c:v>202948.2</c:v>
                </c:pt>
                <c:pt idx="7">
                  <c:v>216164.60000000003</c:v>
                </c:pt>
                <c:pt idx="8">
                  <c:v>204332.3</c:v>
                </c:pt>
                <c:pt idx="9">
                  <c:v>210447.8</c:v>
                </c:pt>
                <c:pt idx="10">
                  <c:v>217479</c:v>
                </c:pt>
                <c:pt idx="11">
                  <c:v>204421.1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E1-4F40-9540-4477934F1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218112"/>
        <c:axId val="182224000"/>
      </c:lineChart>
      <c:lineChart>
        <c:grouping val="standard"/>
        <c:varyColors val="0"/>
        <c:ser>
          <c:idx val="12"/>
          <c:order val="0"/>
          <c:tx>
            <c:v>Net Monthly Savings</c:v>
          </c:tx>
          <c:spPr>
            <a:ln w="38100">
              <a:solidFill>
                <a:srgbClr val="003300"/>
              </a:solidFill>
              <a:prstDash val="solid"/>
            </a:ln>
          </c:spPr>
          <c:marker>
            <c:symbol val="x"/>
            <c:size val="9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DataSource_1!$O$5:$O$16</c:f>
              <c:numCache>
                <c:formatCode>"$"#,##0</c:formatCode>
                <c:ptCount val="12"/>
                <c:pt idx="0">
                  <c:v>-2056.75</c:v>
                </c:pt>
                <c:pt idx="1">
                  <c:v>-2151.75</c:v>
                </c:pt>
                <c:pt idx="2">
                  <c:v>26306.019125509898</c:v>
                </c:pt>
                <c:pt idx="3">
                  <c:v>23879.543326426123</c:v>
                </c:pt>
                <c:pt idx="4">
                  <c:v>30169.003968889665</c:v>
                </c:pt>
                <c:pt idx="5">
                  <c:v>30767.428561472632</c:v>
                </c:pt>
                <c:pt idx="6">
                  <c:v>23118.842531849055</c:v>
                </c:pt>
                <c:pt idx="7">
                  <c:v>25939.249150227195</c:v>
                </c:pt>
                <c:pt idx="8">
                  <c:v>23246.955148257235</c:v>
                </c:pt>
                <c:pt idx="9">
                  <c:v>24344.747832777342</c:v>
                </c:pt>
                <c:pt idx="10">
                  <c:v>25860.790301160589</c:v>
                </c:pt>
                <c:pt idx="11">
                  <c:v>24386.839425648359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E1-4F40-9540-4477934F1A1D}"/>
            </c:ext>
          </c:extLst>
        </c:ser>
        <c:ser>
          <c:idx val="13"/>
          <c:order val="1"/>
          <c:tx>
            <c:v>Net Cumulative Savings</c:v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9"/>
              <c:layout>
                <c:manualLayout>
                  <c:x val="-1.0386857272313137E-2"/>
                  <c:y val="-4.3613708234937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D7-4248-8F81-8E6489A37D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aseline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DataSource_1!$P$5:$P$16</c:f>
              <c:numCache>
                <c:formatCode>"$"#,##0</c:formatCode>
                <c:ptCount val="12"/>
                <c:pt idx="0">
                  <c:v>-2056.75</c:v>
                </c:pt>
                <c:pt idx="1">
                  <c:v>-4208.5</c:v>
                </c:pt>
                <c:pt idx="2">
                  <c:v>22097.519125509898</c:v>
                </c:pt>
                <c:pt idx="3">
                  <c:v>45977.062451936021</c:v>
                </c:pt>
                <c:pt idx="4">
                  <c:v>76146.066420825693</c:v>
                </c:pt>
                <c:pt idx="5">
                  <c:v>106913.49498229832</c:v>
                </c:pt>
                <c:pt idx="6">
                  <c:v>130032.33751414737</c:v>
                </c:pt>
                <c:pt idx="7">
                  <c:v>155971.58666437457</c:v>
                </c:pt>
                <c:pt idx="8">
                  <c:v>179218.5418126318</c:v>
                </c:pt>
                <c:pt idx="9">
                  <c:v>203563.28964540915</c:v>
                </c:pt>
                <c:pt idx="10">
                  <c:v>229424.07994656975</c:v>
                </c:pt>
                <c:pt idx="11">
                  <c:v>253810.91937221811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E1-4F40-9540-4477934F1A1D}"/>
            </c:ext>
          </c:extLst>
        </c:ser>
        <c:ser>
          <c:idx val="0"/>
          <c:order val="3"/>
          <c:tx>
            <c:v>Non Usage Cost</c:v>
          </c:tx>
          <c:spPr>
            <a:ln w="38100">
              <a:pattFill prst="pct75">
                <a:fgClr>
                  <a:srgbClr val="FF000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diamond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DataSource_1!$AC$5:$AC$16</c:f>
              <c:numCache>
                <c:formatCode>"$"#,##0</c:formatCode>
                <c:ptCount val="12"/>
                <c:pt idx="0">
                  <c:v>23065.81</c:v>
                </c:pt>
                <c:pt idx="1">
                  <c:v>24400.789999999997</c:v>
                </c:pt>
                <c:pt idx="2">
                  <c:v>24654.67</c:v>
                </c:pt>
                <c:pt idx="3">
                  <c:v>25685.399999999998</c:v>
                </c:pt>
                <c:pt idx="4">
                  <c:v>25642.63</c:v>
                </c:pt>
                <c:pt idx="5">
                  <c:v>25534.27</c:v>
                </c:pt>
                <c:pt idx="6">
                  <c:v>25922.21</c:v>
                </c:pt>
                <c:pt idx="7">
                  <c:v>25540.820000000003</c:v>
                </c:pt>
                <c:pt idx="8">
                  <c:v>25536.399999999998</c:v>
                </c:pt>
                <c:pt idx="9">
                  <c:v>25049.35</c:v>
                </c:pt>
                <c:pt idx="10">
                  <c:v>25309.940000000002</c:v>
                </c:pt>
                <c:pt idx="11">
                  <c:v>25124.920000000002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E1-4F40-9540-4477934F1A1D}"/>
            </c:ext>
          </c:extLst>
        </c:ser>
        <c:ser>
          <c:idx val="1"/>
          <c:order val="4"/>
          <c:tx>
            <c:v>Usage Cost</c:v>
          </c:tx>
          <c:spPr>
            <a:ln w="38100">
              <a:pattFill prst="pct25">
                <a:fgClr>
                  <a:srgbClr val="FF000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DataSource_1!$AD$5:$AD$16</c:f>
              <c:numCache>
                <c:formatCode>"$"#,##0</c:formatCode>
                <c:ptCount val="12"/>
                <c:pt idx="0">
                  <c:v>24526.84</c:v>
                </c:pt>
                <c:pt idx="1">
                  <c:v>31104.01</c:v>
                </c:pt>
                <c:pt idx="2">
                  <c:v>8027.5400000000045</c:v>
                </c:pt>
                <c:pt idx="3">
                  <c:v>9784.0700000000033</c:v>
                </c:pt>
                <c:pt idx="4">
                  <c:v>11070.209999999995</c:v>
                </c:pt>
                <c:pt idx="5">
                  <c:v>10359.729999999992</c:v>
                </c:pt>
                <c:pt idx="6">
                  <c:v>6787.8899999999994</c:v>
                </c:pt>
                <c:pt idx="7">
                  <c:v>8135.8299999999981</c:v>
                </c:pt>
                <c:pt idx="8">
                  <c:v>7432.6800000000039</c:v>
                </c:pt>
                <c:pt idx="9">
                  <c:v>8645.489999999998</c:v>
                </c:pt>
                <c:pt idx="10">
                  <c:v>8845.5400000000009</c:v>
                </c:pt>
                <c:pt idx="11">
                  <c:v>6786.7200000000012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E1-4F40-9540-4477934F1A1D}"/>
            </c:ext>
          </c:extLst>
        </c:ser>
        <c:ser>
          <c:idx val="2"/>
          <c:order val="5"/>
          <c:tx>
            <c:v>Monthly Wireless Spend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DataSource_1!$E$5:$E$16</c:f>
              <c:numCache>
                <c:formatCode>"$"#,##0</c:formatCode>
                <c:ptCount val="12"/>
                <c:pt idx="0">
                  <c:v>47592.65</c:v>
                </c:pt>
                <c:pt idx="1">
                  <c:v>55504.799999999996</c:v>
                </c:pt>
                <c:pt idx="2">
                  <c:v>32682.210000000003</c:v>
                </c:pt>
                <c:pt idx="3">
                  <c:v>35469.47</c:v>
                </c:pt>
                <c:pt idx="4">
                  <c:v>36712.839999999997</c:v>
                </c:pt>
                <c:pt idx="5">
                  <c:v>35893.999999999993</c:v>
                </c:pt>
                <c:pt idx="6">
                  <c:v>32710.1</c:v>
                </c:pt>
                <c:pt idx="7">
                  <c:v>33676.65</c:v>
                </c:pt>
                <c:pt idx="8">
                  <c:v>32969.08</c:v>
                </c:pt>
                <c:pt idx="9">
                  <c:v>33694.839999999997</c:v>
                </c:pt>
                <c:pt idx="10">
                  <c:v>34155.480000000003</c:v>
                </c:pt>
                <c:pt idx="11">
                  <c:v>31911.640000000003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E1-4F40-9540-4477934F1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214656"/>
        <c:axId val="182216576"/>
      </c:lineChart>
      <c:dateAx>
        <c:axId val="182218112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182224000"/>
        <c:crosses val="autoZero"/>
        <c:auto val="1"/>
        <c:lblOffset val="100"/>
        <c:baseTimeUnit val="months"/>
      </c:dateAx>
      <c:valAx>
        <c:axId val="182224000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18112"/>
        <c:crosses val="max"/>
        <c:crossBetween val="between"/>
      </c:valAx>
      <c:dateAx>
        <c:axId val="18221465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crossAx val="18221657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2216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2146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003366" mc:Ignorable="a14" a14:legacySpreadsheetColorIndex="56"/>
            </a:gs>
          </a:gsLst>
          <a:lin ang="2700000" scaled="1"/>
        </a:gradFill>
        <a:ln w="25400">
          <a:noFill/>
        </a:ln>
      </c:spPr>
    </c:plotArea>
    <c:legend>
      <c:legendPos val="t"/>
      <c:layout>
        <c:manualLayout>
          <c:xMode val="edge"/>
          <c:yMode val="edge"/>
          <c:x val="0.18696237936377988"/>
          <c:y val="0.15156862539722388"/>
          <c:w val="0.70471858919138253"/>
          <c:h val="7.1148038147227866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Net Savings &amp; Minutes of Use</a:t>
            </a:r>
          </a:p>
        </c:rich>
      </c:tx>
      <c:layout>
        <c:manualLayout>
          <c:xMode val="edge"/>
          <c:yMode val="edge"/>
          <c:x val="0.30077691453940064"/>
          <c:y val="9.29853181076672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70144284128746"/>
          <c:y val="0.23980424143556281"/>
          <c:w val="0.73362930077691457"/>
          <c:h val="0.54486133768352363"/>
        </c:manualLayout>
      </c:layout>
      <c:barChart>
        <c:barDir val="col"/>
        <c:grouping val="clustered"/>
        <c:varyColors val="0"/>
        <c:ser>
          <c:idx val="12"/>
          <c:order val="0"/>
          <c:tx>
            <c:v>Net Monthly Savings</c:v>
          </c:tx>
          <c:spPr>
            <a:solidFill>
              <a:schemeClr val="accent1">
                <a:lumMod val="60000"/>
                <a:lumOff val="40000"/>
              </a:schemeClr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DataSource_1!$O$5:$O$16</c:f>
              <c:numCache>
                <c:formatCode>"$"#,##0</c:formatCode>
                <c:ptCount val="12"/>
                <c:pt idx="0">
                  <c:v>-2056.75</c:v>
                </c:pt>
                <c:pt idx="1">
                  <c:v>-2151.75</c:v>
                </c:pt>
                <c:pt idx="2">
                  <c:v>26306.019125509898</c:v>
                </c:pt>
                <c:pt idx="3">
                  <c:v>23879.543326426123</c:v>
                </c:pt>
                <c:pt idx="4">
                  <c:v>30169.003968889665</c:v>
                </c:pt>
                <c:pt idx="5">
                  <c:v>30767.428561472632</c:v>
                </c:pt>
                <c:pt idx="6">
                  <c:v>23118.842531849055</c:v>
                </c:pt>
                <c:pt idx="7">
                  <c:v>25939.249150227195</c:v>
                </c:pt>
                <c:pt idx="8">
                  <c:v>23246.955148257235</c:v>
                </c:pt>
                <c:pt idx="9">
                  <c:v>24344.747832777342</c:v>
                </c:pt>
                <c:pt idx="10">
                  <c:v>25860.790301160589</c:v>
                </c:pt>
                <c:pt idx="11">
                  <c:v>24386.839425648359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0-4A51-9010-72C91AE999D1}"/>
            </c:ext>
          </c:extLst>
        </c:ser>
        <c:ser>
          <c:idx val="13"/>
          <c:order val="1"/>
          <c:tx>
            <c:v>Net Cumulative Savings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8000" mc:Ignorable="a14" a14:legacySpreadsheetColorIndex="17"/>
                </a:gs>
                <a:gs pos="100000">
                  <a:srgbClr xmlns:mc="http://schemas.openxmlformats.org/markup-compatibility/2006" xmlns:a14="http://schemas.microsoft.com/office/drawing/2010/main" val="003B00" mc:Ignorable="a14" a14:legacySpreadsheetColorIndex="17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numFmt formatCode="\$#,##0_);[Red]\(\$#,##0\)" sourceLinked="0"/>
            <c:spPr>
              <a:solidFill>
                <a:schemeClr val="bg1"/>
              </a:solidFill>
              <a:ln w="25400">
                <a:noFill/>
              </a:ln>
            </c:spPr>
            <c:txPr>
              <a:bodyPr wrap="none"/>
              <a:lstStyle/>
              <a:p>
                <a:pPr>
                  <a:defRPr sz="900" b="1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DataSource_1!$P$5:$P$16</c:f>
              <c:numCache>
                <c:formatCode>"$"#,##0</c:formatCode>
                <c:ptCount val="12"/>
                <c:pt idx="0">
                  <c:v>-2056.75</c:v>
                </c:pt>
                <c:pt idx="1">
                  <c:v>-4208.5</c:v>
                </c:pt>
                <c:pt idx="2">
                  <c:v>22097.519125509898</c:v>
                </c:pt>
                <c:pt idx="3">
                  <c:v>45977.062451936021</c:v>
                </c:pt>
                <c:pt idx="4">
                  <c:v>76146.066420825693</c:v>
                </c:pt>
                <c:pt idx="5">
                  <c:v>106913.49498229832</c:v>
                </c:pt>
                <c:pt idx="6">
                  <c:v>130032.33751414737</c:v>
                </c:pt>
                <c:pt idx="7">
                  <c:v>155971.58666437457</c:v>
                </c:pt>
                <c:pt idx="8">
                  <c:v>179218.5418126318</c:v>
                </c:pt>
                <c:pt idx="9">
                  <c:v>203563.28964540915</c:v>
                </c:pt>
                <c:pt idx="10">
                  <c:v>229424.07994656975</c:v>
                </c:pt>
                <c:pt idx="11">
                  <c:v>253810.91937221811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0-4A51-9010-72C91AE9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68359424"/>
        <c:axId val="168360960"/>
      </c:barChart>
      <c:lineChart>
        <c:grouping val="standard"/>
        <c:varyColors val="0"/>
        <c:ser>
          <c:idx val="14"/>
          <c:order val="2"/>
          <c:tx>
            <c:v>Monthly Mins. of Use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Lbls>
            <c:dLbl>
              <c:idx val="10"/>
              <c:layout>
                <c:manualLayout>
                  <c:x val="-2.6360418339147363E-2"/>
                  <c:y val="2.7972699192304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F9-401D-A56F-2FB9492B3AD5}"/>
                </c:ext>
              </c:extLst>
            </c:dLbl>
            <c:dLbl>
              <c:idx val="11"/>
              <c:layout>
                <c:manualLayout>
                  <c:x val="-3.8231112364648198E-2"/>
                  <c:y val="2.7972699192305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A0-4A51-9010-72C91AE999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DataSource_1!$B$5:$B$16</c:f>
              <c:numCache>
                <c:formatCode>mmm\ yyyy</c:formatCode>
                <c:ptCount val="12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</c:numCache>
            </c:numRef>
          </c:cat>
          <c:val>
            <c:numRef>
              <c:f>DataSource_1!$Q$5:$Q$16</c:f>
              <c:numCache>
                <c:formatCode>#,##0</c:formatCode>
                <c:ptCount val="12"/>
                <c:pt idx="0">
                  <c:v>175781.09999999998</c:v>
                </c:pt>
                <c:pt idx="1">
                  <c:v>193710.6</c:v>
                </c:pt>
                <c:pt idx="2">
                  <c:v>213493.3</c:v>
                </c:pt>
                <c:pt idx="3">
                  <c:v>215067.40000000002</c:v>
                </c:pt>
                <c:pt idx="4">
                  <c:v>241373.4</c:v>
                </c:pt>
                <c:pt idx="5">
                  <c:v>240571</c:v>
                </c:pt>
                <c:pt idx="6">
                  <c:v>202948.2</c:v>
                </c:pt>
                <c:pt idx="7">
                  <c:v>216164.60000000003</c:v>
                </c:pt>
                <c:pt idx="8">
                  <c:v>204332.3</c:v>
                </c:pt>
                <c:pt idx="9">
                  <c:v>210447.8</c:v>
                </c:pt>
                <c:pt idx="10">
                  <c:v>217479</c:v>
                </c:pt>
                <c:pt idx="11">
                  <c:v>204421.1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A0-4A51-9010-72C91AE9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79136"/>
        <c:axId val="168380672"/>
      </c:lineChart>
      <c:dateAx>
        <c:axId val="16835942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low"/>
        <c:crossAx val="1683609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68360960"/>
        <c:scaling>
          <c:orientation val="minMax"/>
          <c:min val="-1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\$* #,##0_);_(\$* \(#,##0\);_(\$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359424"/>
        <c:crosses val="autoZero"/>
        <c:crossBetween val="between"/>
      </c:valAx>
      <c:dateAx>
        <c:axId val="168379136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168380672"/>
        <c:crosses val="autoZero"/>
        <c:auto val="1"/>
        <c:lblOffset val="100"/>
        <c:baseTimeUnit val="months"/>
      </c:dateAx>
      <c:valAx>
        <c:axId val="168380672"/>
        <c:scaling>
          <c:orientation val="minMax"/>
        </c:scaling>
        <c:delete val="0"/>
        <c:axPos val="r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379136"/>
        <c:crosses val="max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25400">
          <a:noFill/>
        </a:ln>
      </c:spPr>
    </c:plotArea>
    <c:legend>
      <c:legendPos val="t"/>
      <c:layout>
        <c:manualLayout>
          <c:xMode val="edge"/>
          <c:yMode val="edge"/>
          <c:x val="0.19246589483009077"/>
          <c:y val="0.18252336896321458"/>
          <c:w val="0.64771250207240583"/>
          <c:h val="3.7209533132424095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Cost per Minute Distribution</a:t>
            </a:r>
          </a:p>
        </c:rich>
      </c:tx>
      <c:layout>
        <c:manualLayout>
          <c:xMode val="edge"/>
          <c:yMode val="edge"/>
          <c:x val="0.31964483906770258"/>
          <c:y val="8.482871125611746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60"/>
      <c:rotY val="20"/>
      <c:depthPercent val="100"/>
      <c:rAngAx val="1"/>
    </c:view3D>
    <c:floor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9525">
          <a:noFill/>
        </a:ln>
      </c:spPr>
    </c:floor>
    <c:side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3175">
          <a:solidFill>
            <a:srgbClr val="000000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003366" mc:Ignorable="a14" a14:legacySpreadsheetColorIndex="5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w="3175">
          <a:solidFill>
            <a:srgbClr val="00000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9.9889012208657049E-2"/>
          <c:y val="0.19902120717781402"/>
          <c:w val="0.84683684794672587"/>
          <c:h val="0.6982055464926590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DataSource_1!$AV$30</c:f>
              <c:strCache>
                <c:ptCount val="1"/>
                <c:pt idx="0">
                  <c:v>Num of Users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3B00" mc:Ignorable="a14" a14:legacySpreadsheetColorIndex="17">
                    <a:gamma/>
                    <a:shade val="4627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8000" mc:Ignorable="a14" a14:legacySpreadsheetColorIndex="17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-1.7692708624818653E-3"/>
                  <c:y val="4.99383827590546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01-4318-A099-954E360CD363}"/>
                </c:ext>
              </c:extLst>
            </c:dLbl>
            <c:dLbl>
              <c:idx val="1"/>
              <c:layout>
                <c:manualLayout>
                  <c:x val="2.8165846638759096E-3"/>
                  <c:y val="5.2436577564835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201-4318-A099-954E360CD363}"/>
                </c:ext>
              </c:extLst>
            </c:dLbl>
            <c:dLbl>
              <c:idx val="2"/>
              <c:layout>
                <c:manualLayout>
                  <c:x val="6.6909616320157128E-3"/>
                  <c:y val="4.23614340213999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01-4318-A099-954E360CD363}"/>
                </c:ext>
              </c:extLst>
            </c:dLbl>
            <c:dLbl>
              <c:idx val="3"/>
              <c:layout>
                <c:manualLayout>
                  <c:x val="6.1257104238218729E-3"/>
                  <c:y val="4.08261936262860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01-4318-A099-954E360CD363}"/>
                </c:ext>
              </c:extLst>
            </c:dLbl>
            <c:dLbl>
              <c:idx val="4"/>
              <c:layout>
                <c:manualLayout>
                  <c:x val="5.5605757382436449E-3"/>
                  <c:y val="4.41844035400958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01-4318-A099-954E360CD363}"/>
                </c:ext>
              </c:extLst>
            </c:dLbl>
            <c:dLbl>
              <c:idx val="5"/>
              <c:layout>
                <c:manualLayout>
                  <c:x val="3.8855631392358259E-3"/>
                  <c:y val="4.15938138238429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01-4318-A099-954E360CD363}"/>
                </c:ext>
              </c:extLst>
            </c:dLbl>
            <c:dLbl>
              <c:idx val="6"/>
              <c:layout>
                <c:manualLayout>
                  <c:x val="9.9796959342346447E-3"/>
                  <c:y val="4.58157249104057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01-4318-A099-954E360CD363}"/>
                </c:ext>
              </c:extLst>
            </c:dLbl>
            <c:dLbl>
              <c:idx val="7"/>
              <c:layout>
                <c:manualLayout>
                  <c:x val="4.9749330723226626E-3"/>
                  <c:y val="4.92705296014180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01-4318-A099-954E360CD363}"/>
                </c:ext>
              </c:extLst>
            </c:dLbl>
            <c:dLbl>
              <c:idx val="8"/>
              <c:layout>
                <c:manualLayout>
                  <c:x val="4.4462525702799339E-3"/>
                  <c:y val="5.1256581334328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01-4318-A099-954E360CD3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chemeClr val="bg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DataSource_1!$AU$31:$AU$39</c:f>
              <c:strCache>
                <c:ptCount val="9"/>
                <c:pt idx="0">
                  <c:v>$0.01 - $0.14</c:v>
                </c:pt>
                <c:pt idx="1">
                  <c:v>$0.15 - $0.19</c:v>
                </c:pt>
                <c:pt idx="2">
                  <c:v>$0.20 - $0.24</c:v>
                </c:pt>
                <c:pt idx="3">
                  <c:v>$0.25 - $0.29</c:v>
                </c:pt>
                <c:pt idx="4">
                  <c:v>$0.30 - $0.39</c:v>
                </c:pt>
                <c:pt idx="5">
                  <c:v>$0.40 - $0.49</c:v>
                </c:pt>
                <c:pt idx="6">
                  <c:v>$0.50 - $0.99</c:v>
                </c:pt>
                <c:pt idx="7">
                  <c:v>$1.00 - $5.00</c:v>
                </c:pt>
                <c:pt idx="8">
                  <c:v>Greater than $5.00</c:v>
                </c:pt>
              </c:strCache>
            </c:strRef>
          </c:cat>
          <c:val>
            <c:numRef>
              <c:f>DataSource_1!$AV$31:$AV$39</c:f>
              <c:numCache>
                <c:formatCode>General</c:formatCode>
                <c:ptCount val="9"/>
                <c:pt idx="0">
                  <c:v>166</c:v>
                </c:pt>
                <c:pt idx="1">
                  <c:v>45</c:v>
                </c:pt>
                <c:pt idx="2">
                  <c:v>23</c:v>
                </c:pt>
                <c:pt idx="3">
                  <c:v>19</c:v>
                </c:pt>
                <c:pt idx="4">
                  <c:v>32</c:v>
                </c:pt>
                <c:pt idx="5">
                  <c:v>21</c:v>
                </c:pt>
                <c:pt idx="6">
                  <c:v>32</c:v>
                </c:pt>
                <c:pt idx="7">
                  <c:v>24</c:v>
                </c:pt>
                <c:pt idx="8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01-4318-A099-954E360CD3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82503296"/>
        <c:axId val="182504832"/>
        <c:axId val="0"/>
      </c:bar3DChart>
      <c:catAx>
        <c:axId val="18250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504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2504832"/>
        <c:scaling>
          <c:orientation val="minMax"/>
        </c:scaling>
        <c:delete val="0"/>
        <c:axPos val="l"/>
        <c:majorGridlines>
          <c:spPr>
            <a:ln w="3175">
              <a:solidFill>
                <a:srgbClr val="FFFFCC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503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026211929406506"/>
          <c:y val="0.15932229760708688"/>
          <c:w val="0.42048019744050724"/>
          <c:h val="0.65423837102484605"/>
        </c:manualLayout>
      </c:layout>
      <c:pieChart>
        <c:varyColors val="1"/>
        <c:ser>
          <c:idx val="0"/>
          <c:order val="0"/>
          <c:tx>
            <c:strRef>
              <c:f>DataSource_1!$AV$41</c:f>
              <c:strCache>
                <c:ptCount val="1"/>
                <c:pt idx="0">
                  <c:v>Users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dPt>
            <c:idx val="0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760000" mc:Ignorable="a14" a14:legacySpreadsheetColorIndex="10">
                      <a:gamma/>
                      <a:shade val="46275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FF0000" mc:Ignorable="a14" a14:legacySpreadsheetColorIndex="10"/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C9-4B2B-BEE3-5D79B2682D1D}"/>
              </c:ext>
            </c:extLst>
          </c:dPt>
          <c:dPt>
            <c:idx val="1"/>
            <c:bubble3D val="0"/>
            <c:explosion val="13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001800" mc:Ignorable="a14" a14:legacySpreadsheetColorIndex="58">
                      <a:gamma/>
                      <a:shade val="46275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003300" mc:Ignorable="a14" a14:legacySpreadsheetColorIndex="58"/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C9-4B2B-BEE3-5D79B2682D1D}"/>
              </c:ext>
            </c:extLst>
          </c:dPt>
          <c:dPt>
            <c:idx val="2"/>
            <c:bubble3D val="0"/>
            <c:explosion val="12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0000FF" mc:Ignorable="a14" a14:legacySpreadsheetColorIndex="12"/>
                  </a:gs>
                  <a:gs pos="100000">
                    <a:srgbClr xmlns:mc="http://schemas.openxmlformats.org/markup-compatibility/2006" xmlns:a14="http://schemas.microsoft.com/office/drawing/2010/main" val="4343FF" mc:Ignorable="a14" a14:legacySpreadsheetColorIndex="12">
                      <a:gamma/>
                      <a:tint val="73725"/>
                      <a:invGamma/>
                    </a:srgbClr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C9-4B2B-BEE3-5D79B2682D1D}"/>
              </c:ext>
            </c:extLst>
          </c:dPt>
          <c:dPt>
            <c:idx val="3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FFFFFF" mc:Ignorable="a14" a14:legacySpreadsheetColorIndex="10">
                      <a:gamma/>
                      <a:tint val="0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FF0000" mc:Ignorable="a14" a14:legacySpreadsheetColorIndex="10"/>
                  </a:gs>
                </a:gsLst>
                <a:path path="rect">
                  <a:fillToRect l="50000" t="50000" r="50000" b="50000"/>
                </a:path>
              </a:gradFill>
              <a:ln w="12700"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AC9-4B2B-BEE3-5D79B2682D1D}"/>
              </c:ext>
            </c:extLst>
          </c:dPt>
          <c:dLbls>
            <c:dLbl>
              <c:idx val="3"/>
              <c:layout>
                <c:manualLayout>
                  <c:x val="8.9561353901550511E-3"/>
                  <c:y val="-1.5384231193806164E-2"/>
                </c:manualLayout>
              </c:layout>
              <c:tx>
                <c:rich>
                  <a:bodyPr/>
                  <a:lstStyle/>
                  <a:p>
                    <a:fld id="{A8499304-237F-4007-A0B4-991322FEE90C}" type="CATEGORYNAME">
                      <a:rPr lang="en-US">
                        <a:solidFill>
                          <a:sysClr val="windowText" lastClr="000000"/>
                        </a:solidFill>
                      </a:rPr>
                      <a:pPr/>
                      <a:t>[CATEGORY NAME]</a:t>
                    </a:fld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
</a:t>
                    </a:r>
                    <a:fld id="{86F7D312-C45F-41B2-ADF9-001B712DA5A7}" type="PERCENTAGE">
                      <a:rPr lang="en-US" baseline="0">
                        <a:solidFill>
                          <a:sysClr val="windowText" lastClr="000000"/>
                        </a:solidFill>
                      </a:rPr>
                      <a:pPr/>
                      <a:t>[PERCENTAGE]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CAC9-4B2B-BEE3-5D79B2682D1D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chemeClr val="bg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DataSource_1!$AU$42:$AU$45</c:f>
              <c:strCache>
                <c:ptCount val="4"/>
                <c:pt idx="0">
                  <c:v>Greater than $5.00</c:v>
                </c:pt>
                <c:pt idx="1">
                  <c:v>19¢ and Less</c:v>
                </c:pt>
                <c:pt idx="2">
                  <c:v>20¢ to 99¢</c:v>
                </c:pt>
                <c:pt idx="3">
                  <c:v>$1.00 - $5.00</c:v>
                </c:pt>
              </c:strCache>
            </c:strRef>
          </c:cat>
          <c:val>
            <c:numRef>
              <c:f>DataSource_1!$AV$42:$AV$45</c:f>
              <c:numCache>
                <c:formatCode>General</c:formatCode>
                <c:ptCount val="4"/>
                <c:pt idx="0">
                  <c:v>117</c:v>
                </c:pt>
                <c:pt idx="1">
                  <c:v>211</c:v>
                </c:pt>
                <c:pt idx="2">
                  <c:v>127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C9-4B2B-BEE3-5D79B2682D1D}"/>
            </c:ext>
          </c:extLst>
        </c:ser>
        <c:dLbls>
          <c:showLegendKey val="1"/>
          <c:showVal val="0"/>
          <c:showCatName val="1"/>
          <c:showSerName val="0"/>
          <c:showPercent val="1"/>
          <c:showBubbleSize val="0"/>
          <c:showLeaderLines val="1"/>
        </c:dLbls>
        <c:firstSliceAng val="12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2.bin"/></Relationships>
</file>

<file path=xl/chart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/Relationships>
</file>

<file path=xl/chart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4.bin"/></Relationships>
</file>

<file path=xl/chart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5.bin"/></Relationships>
</file>

<file path=xl/chart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6.bin"/></Relationships>
</file>

<file path=xl/chart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8F57635-9941-4378-8BB3-ED9492627F96}">
  <sheetPr codeName="Chart14"/>
  <sheetViews>
    <sheetView zoomScale="80" workbookViewId="0"/>
  </sheetViews>
  <pageMargins left="0.5" right="0.5" top="0.5" bottom="0.5" header="0.25" footer="0.25"/>
  <pageSetup orientation="landscape" r:id="rId1"/>
  <headerFooter alignWithMargins="0">
    <oddFooter>&amp;LPrepared by Mobile Enterprises, Inc.&amp;C&amp;D&amp;RPage &amp;P of &amp;N</oddFoot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D4A717B-707C-4C5A-AD44-62A8BF432209}">
  <sheetPr codeName="Chart15"/>
  <sheetViews>
    <sheetView zoomScale="80" workbookViewId="0"/>
  </sheetViews>
  <pageMargins left="0.25" right="0.25" top="0.25" bottom="0.5" header="0.25" footer="0.5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FF9648-A420-40F1-B61B-28703F65058A}">
  <sheetPr codeName="Chart2"/>
  <sheetViews>
    <sheetView zoomScale="80" workbookViewId="0"/>
  </sheetViews>
  <pageMargins left="0.5" right="0.5" top="0.5" bottom="0.5" header="0.5" footer="0.5"/>
  <pageSetup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E58D4B12-2D35-44BF-A2F4-D0602EA788AA}">
  <sheetPr codeName="Chart3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  <legacyDrawing r:id="rId3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86544BD-FFE4-4D9B-86FB-81D7313FF012}">
  <sheetPr codeName="Chart8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8F07195-EDAF-4419-88B1-FCE3795244F7}">
  <sheetPr codeName="Chart4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79CFDD8-F3C5-4942-AF47-BCFF28FFE902}">
  <sheetPr codeName="Chart11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69E3CB-4DA0-4785-8BD5-431A6D5F14B1}">
  <sheetPr codeName="Chart10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702E631-9941-4C02-B571-CBFF8916F60D}">
  <sheetPr codeName="Chart19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9974F1-A34C-4C91-9BD3-636EE5A2AFE1}">
  <sheetPr codeName="Chart6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CCE813-B455-4B2D-AD20-42E82C8252DB}">
  <sheetPr codeName="Chart1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0A4778-EBD1-43CB-9FD8-01E6FCCA34A2}">
  <sheetPr codeName="Chart7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ADB27A-B2A2-4700-A0B2-DD6B0F6257CC}">
  <sheetPr codeName="Chart5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55EC5E-FBB8-4F1A-B7CD-794AF98F6314}">
  <sheetPr codeName="Chart13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C53CB98-34D1-45D9-B184-BC74F2F333C7}">
  <sheetPr codeName="Chart12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2C6EEF9-75CC-4060-BB9B-FA9971B1D00A}">
  <sheetPr codeName="Chart16"/>
  <sheetViews>
    <sheetView zoomScale="8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24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2.png"/><Relationship Id="rId7" Type="http://schemas.openxmlformats.org/officeDocument/2006/relationships/image" Target="../media/image19.png"/><Relationship Id="rId2" Type="http://schemas.openxmlformats.org/officeDocument/2006/relationships/image" Target="../media/image21.png"/><Relationship Id="rId1" Type="http://schemas.openxmlformats.org/officeDocument/2006/relationships/chart" Target="../charts/chart17.xml"/><Relationship Id="rId6" Type="http://schemas.openxmlformats.org/officeDocument/2006/relationships/image" Target="../media/image18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8</xdr:col>
      <xdr:colOff>176894</xdr:colOff>
      <xdr:row>2</xdr:row>
      <xdr:rowOff>59717</xdr:rowOff>
    </xdr:to>
    <xdr:sp macro="" textlink="">
      <xdr:nvSpPr>
        <xdr:cNvPr id="2" name="TextBox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60321" y="0"/>
          <a:ext cx="2748644" cy="549574"/>
        </a:xfrm>
        <a:prstGeom prst="rect">
          <a:avLst/>
        </a:prstGeom>
        <a:solidFill>
          <a:sysClr val="window" lastClr="FFFFFF"/>
        </a:solidFill>
        <a:ln w="19050">
          <a:solidFill>
            <a:schemeClr val="accent1"/>
          </a:solidFill>
        </a:ln>
      </xdr:spPr>
      <xdr:txBody>
        <a:bodyPr wrap="square" tIns="18288" bIns="0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9pPr>
        </a:lstStyle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Richard Sweeny!</a:t>
          </a:r>
        </a:p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7</xdr:col>
      <xdr:colOff>830037</xdr:colOff>
      <xdr:row>2</xdr:row>
      <xdr:rowOff>59717</xdr:rowOff>
    </xdr:to>
    <xdr:sp macro="" textlink="">
      <xdr:nvSpPr>
        <xdr:cNvPr id="2" name="TextBox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810000" y="0"/>
          <a:ext cx="2748644" cy="549574"/>
        </a:xfrm>
        <a:prstGeom prst="rect">
          <a:avLst/>
        </a:prstGeom>
        <a:solidFill>
          <a:sysClr val="window" lastClr="FFFFFF"/>
        </a:solidFill>
        <a:ln w="19050">
          <a:solidFill>
            <a:schemeClr val="accent1"/>
          </a:solidFill>
        </a:ln>
      </xdr:spPr>
      <xdr:txBody>
        <a:bodyPr wrap="square" tIns="18288" bIns="0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9pPr>
        </a:lstStyle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Richard Sweeny!</a:t>
          </a:r>
        </a:p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40821</xdr:colOff>
      <xdr:row>0</xdr:row>
      <xdr:rowOff>122464</xdr:rowOff>
    </xdr:from>
    <xdr:to>
      <xdr:col>2</xdr:col>
      <xdr:colOff>2789465</xdr:colOff>
      <xdr:row>3</xdr:row>
      <xdr:rowOff>100538</xdr:rowOff>
    </xdr:to>
    <xdr:sp macro="" textlink="">
      <xdr:nvSpPr>
        <xdr:cNvPr id="2" name="TextBox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844142" y="122464"/>
          <a:ext cx="2748644" cy="549574"/>
        </a:xfrm>
        <a:prstGeom prst="rect">
          <a:avLst/>
        </a:prstGeom>
        <a:solidFill>
          <a:sysClr val="window" lastClr="FFFFFF"/>
        </a:solidFill>
        <a:ln w="19050">
          <a:solidFill>
            <a:schemeClr val="accent1"/>
          </a:solidFill>
        </a:ln>
      </xdr:spPr>
      <xdr:txBody>
        <a:bodyPr wrap="square" tIns="18288" bIns="0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9pPr>
        </a:lstStyle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Richard Sweeny!</a:t>
          </a:r>
        </a:p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>
          <a:r>
            <a:rPr lang="en-US" sz="12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179914</xdr:colOff>
      <xdr:row>6</xdr:row>
      <xdr:rowOff>0</xdr:rowOff>
    </xdr:from>
    <xdr:to>
      <xdr:col>11</xdr:col>
      <xdr:colOff>1322914</xdr:colOff>
      <xdr:row>7</xdr:row>
      <xdr:rowOff>254000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6549758" y="3964781"/>
          <a:ext cx="2881312" cy="1135063"/>
          <a:chOff x="6582831" y="3979333"/>
          <a:chExt cx="2889250" cy="1143000"/>
        </a:xfrm>
      </xdr:grpSpPr>
      <xdr:sp macro="" textlink="">
        <xdr:nvSpPr>
          <xdr:cNvPr id="28" name="Rectangle: Single Corner Snipped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6582831" y="3979333"/>
            <a:ext cx="2889250" cy="1143000"/>
          </a:xfrm>
          <a:prstGeom prst="snip1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tIns="0" bIns="4572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>
              <a:effectLst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7244290" y="3989919"/>
            <a:ext cx="1566332" cy="1719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0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Let's Make Some Chang</a:t>
            </a:r>
            <a:r>
              <a:rPr lang="en-US" sz="11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es!</a:t>
            </a:r>
            <a:endParaRPr lang="en-US">
              <a:solidFill>
                <a:schemeClr val="bg1"/>
              </a:solidFill>
              <a:effectLst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6</xdr:row>
          <xdr:rowOff>238125</xdr:rowOff>
        </xdr:from>
        <xdr:to>
          <xdr:col>9</xdr:col>
          <xdr:colOff>1323975</xdr:colOff>
          <xdr:row>6</xdr:row>
          <xdr:rowOff>476250</xdr:rowOff>
        </xdr:to>
        <xdr:sp macro="" textlink="">
          <xdr:nvSpPr>
            <xdr:cNvPr id="161797" name="Button 5" hidden="1">
              <a:extLst>
                <a:ext uri="{63B3BB69-23CF-44E3-9099-C40C66FF867C}">
                  <a14:compatExt spid="_x0000_s161797"/>
                </a:ext>
                <a:ext uri="{FF2B5EF4-FFF2-40B4-BE49-F238E27FC236}">
                  <a16:creationId xmlns:a16="http://schemas.microsoft.com/office/drawing/2014/main" id="{00000000-0008-0000-0300-00000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Chart Headings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238125</xdr:rowOff>
        </xdr:from>
        <xdr:to>
          <xdr:col>11</xdr:col>
          <xdr:colOff>1076325</xdr:colOff>
          <xdr:row>6</xdr:row>
          <xdr:rowOff>476250</xdr:rowOff>
        </xdr:to>
        <xdr:sp macro="" textlink="">
          <xdr:nvSpPr>
            <xdr:cNvPr id="161798" name="Button 6" hidden="1">
              <a:extLst>
                <a:ext uri="{63B3BB69-23CF-44E3-9099-C40C66FF867C}">
                  <a14:compatExt spid="_x0000_s161798"/>
                </a:ext>
                <a:ext uri="{FF2B5EF4-FFF2-40B4-BE49-F238E27FC236}">
                  <a16:creationId xmlns:a16="http://schemas.microsoft.com/office/drawing/2014/main" id="{00000000-0008-0000-0300-00000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Chart Headings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114300</xdr:colOff>
      <xdr:row>6</xdr:row>
      <xdr:rowOff>9525</xdr:rowOff>
    </xdr:from>
    <xdr:to>
      <xdr:col>1</xdr:col>
      <xdr:colOff>1304925</xdr:colOff>
      <xdr:row>6</xdr:row>
      <xdr:rowOff>828675</xdr:rowOff>
    </xdr:to>
    <xdr:pic macro="[0]!mod_Buttons.btn_UO_Click">
      <xdr:nvPicPr>
        <xdr:cNvPr id="2" name="Picture 41" descr="Usage Overview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4295775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0</xdr:colOff>
      <xdr:row>1</xdr:row>
      <xdr:rowOff>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15125700" y="139065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41148" rIns="36576" bIns="0" anchor="t" upright="1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FFFFFF"/>
              </a:solidFill>
              <a:latin typeface="Arial Black"/>
            </a:rPr>
            <a:t>Usage Management</a:t>
          </a:r>
        </a:p>
      </xdr:txBody>
    </xdr:sp>
    <xdr:clientData/>
  </xdr:twoCellAnchor>
  <xdr:twoCellAnchor>
    <xdr:from>
      <xdr:col>22</xdr:col>
      <xdr:colOff>0</xdr:colOff>
      <xdr:row>26</xdr:row>
      <xdr:rowOff>47625</xdr:rowOff>
    </xdr:from>
    <xdr:to>
      <xdr:col>22</xdr:col>
      <xdr:colOff>0</xdr:colOff>
      <xdr:row>27</xdr:row>
      <xdr:rowOff>114300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15125700" y="928687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41148" rIns="36576" bIns="0" anchor="t" upright="1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FFFFFF"/>
              </a:solidFill>
              <a:latin typeface="Arial Black"/>
            </a:rPr>
            <a:t>Usage Management</a:t>
          </a:r>
        </a:p>
      </xdr:txBody>
    </xdr:sp>
    <xdr:clientData/>
  </xdr:twoCellAnchor>
  <xdr:oneCellAnchor>
    <xdr:from>
      <xdr:col>10</xdr:col>
      <xdr:colOff>152400</xdr:colOff>
      <xdr:row>10</xdr:row>
      <xdr:rowOff>114300</xdr:rowOff>
    </xdr:from>
    <xdr:ext cx="76200" cy="200025"/>
    <xdr:sp macro="" textlink="">
      <xdr:nvSpPr>
        <xdr:cNvPr id="5" name="Text Box 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096250" y="6762750"/>
          <a:ext cx="76200" cy="2000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twoCellAnchor editAs="oneCell">
    <xdr:from>
      <xdr:col>9</xdr:col>
      <xdr:colOff>426243</xdr:colOff>
      <xdr:row>0</xdr:row>
      <xdr:rowOff>123825</xdr:rowOff>
    </xdr:from>
    <xdr:to>
      <xdr:col>12</xdr:col>
      <xdr:colOff>26193</xdr:colOff>
      <xdr:row>0</xdr:row>
      <xdr:rowOff>1323975</xdr:rowOff>
    </xdr:to>
    <xdr:pic>
      <xdr:nvPicPr>
        <xdr:cNvPr id="6" name="Picture 20" descr="Mobile3x8white 12-21-0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86" r="15701"/>
        <a:stretch>
          <a:fillRect/>
        </a:stretch>
      </xdr:blipFill>
      <xdr:spPr bwMode="auto">
        <a:xfrm>
          <a:off x="6974681" y="123825"/>
          <a:ext cx="2540793" cy="120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809625</xdr:colOff>
          <xdr:row>0</xdr:row>
          <xdr:rowOff>1219200</xdr:rowOff>
        </xdr:from>
        <xdr:to>
          <xdr:col>3</xdr:col>
          <xdr:colOff>219075</xdr:colOff>
          <xdr:row>0</xdr:row>
          <xdr:rowOff>1381125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03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Full Screen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1219200</xdr:rowOff>
        </xdr:from>
        <xdr:to>
          <xdr:col>1</xdr:col>
          <xdr:colOff>790575</xdr:colOff>
          <xdr:row>0</xdr:row>
          <xdr:rowOff>1381125</xdr:rowOff>
        </xdr:to>
        <xdr:sp macro="" textlink="">
          <xdr:nvSpPr>
            <xdr:cNvPr id="161794" name="Button 2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03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Full Screen 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104775</xdr:colOff>
      <xdr:row>2</xdr:row>
      <xdr:rowOff>9525</xdr:rowOff>
    </xdr:from>
    <xdr:to>
      <xdr:col>7</xdr:col>
      <xdr:colOff>1266825</xdr:colOff>
      <xdr:row>2</xdr:row>
      <xdr:rowOff>838200</xdr:rowOff>
    </xdr:to>
    <xdr:pic macro="[0]!mod_Buttons.btn_WSM_Click">
      <xdr:nvPicPr>
        <xdr:cNvPr id="7" name="Picture 26" descr="Wireless Spend and Minute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1876425"/>
          <a:ext cx="11620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95250</xdr:colOff>
      <xdr:row>2</xdr:row>
      <xdr:rowOff>9525</xdr:rowOff>
    </xdr:from>
    <xdr:to>
      <xdr:col>9</xdr:col>
      <xdr:colOff>1295400</xdr:colOff>
      <xdr:row>2</xdr:row>
      <xdr:rowOff>838200</xdr:rowOff>
    </xdr:to>
    <xdr:pic macro="[0]!btn_YTDTC_Click">
      <xdr:nvPicPr>
        <xdr:cNvPr id="8" name="Picture 27" descr="Year-To-Date-Trendi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5" y="1876425"/>
          <a:ext cx="12001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104775</xdr:colOff>
      <xdr:row>2</xdr:row>
      <xdr:rowOff>9525</xdr:rowOff>
    </xdr:from>
    <xdr:to>
      <xdr:col>5</xdr:col>
      <xdr:colOff>1266825</xdr:colOff>
      <xdr:row>2</xdr:row>
      <xdr:rowOff>838200</xdr:rowOff>
    </xdr:to>
    <xdr:pic macro="[0]!mod_Buttons.btn_CPM_Click">
      <xdr:nvPicPr>
        <xdr:cNvPr id="9" name="Picture 28" descr="Cost Per Minute Distributio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1876425"/>
          <a:ext cx="1162050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114300</xdr:colOff>
      <xdr:row>2</xdr:row>
      <xdr:rowOff>9525</xdr:rowOff>
    </xdr:from>
    <xdr:to>
      <xdr:col>1</xdr:col>
      <xdr:colOff>1304925</xdr:colOff>
      <xdr:row>2</xdr:row>
      <xdr:rowOff>828675</xdr:rowOff>
    </xdr:to>
    <xdr:pic macro="[0]!btn_CSS_Click">
      <xdr:nvPicPr>
        <xdr:cNvPr id="10" name="Picture 29" descr="Cumulative Savings vs % of Total Spend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1876425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95250</xdr:colOff>
      <xdr:row>4</xdr:row>
      <xdr:rowOff>9525</xdr:rowOff>
    </xdr:from>
    <xdr:to>
      <xdr:col>9</xdr:col>
      <xdr:colOff>1285875</xdr:colOff>
      <xdr:row>4</xdr:row>
      <xdr:rowOff>828675</xdr:rowOff>
    </xdr:to>
    <xdr:pic macro="[0]!mod_Buttons.btn_MMACP_Click">
      <xdr:nvPicPr>
        <xdr:cNvPr id="11" name="Picture 30" descr="Monthly Min Avg Cost Per Phon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5" y="3086100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95250</xdr:colOff>
      <xdr:row>6</xdr:row>
      <xdr:rowOff>9525</xdr:rowOff>
    </xdr:from>
    <xdr:to>
      <xdr:col>3</xdr:col>
      <xdr:colOff>1285875</xdr:colOff>
      <xdr:row>6</xdr:row>
      <xdr:rowOff>828675</xdr:rowOff>
    </xdr:to>
    <xdr:pic macro="[0]!mod_Buttons.btn_MMCPM_Click">
      <xdr:nvPicPr>
        <xdr:cNvPr id="12" name="Picture 31" descr="Monthly Minutes and Cost Per Minute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4295775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104775</xdr:colOff>
      <xdr:row>4</xdr:row>
      <xdr:rowOff>9525</xdr:rowOff>
    </xdr:from>
    <xdr:to>
      <xdr:col>7</xdr:col>
      <xdr:colOff>1295400</xdr:colOff>
      <xdr:row>4</xdr:row>
      <xdr:rowOff>828675</xdr:rowOff>
    </xdr:to>
    <xdr:pic macro="[0]!mod_Buttons.btn_MSCS_Click">
      <xdr:nvPicPr>
        <xdr:cNvPr id="13" name="Picture 33" descr="Monthly Spend vs Cum Savings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3086100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104775</xdr:colOff>
      <xdr:row>2</xdr:row>
      <xdr:rowOff>9525</xdr:rowOff>
    </xdr:from>
    <xdr:to>
      <xdr:col>3</xdr:col>
      <xdr:colOff>1276350</xdr:colOff>
      <xdr:row>2</xdr:row>
      <xdr:rowOff>838200</xdr:rowOff>
    </xdr:to>
    <xdr:pic macro="[0]!mod_Buttons.btn_NCS_Click">
      <xdr:nvPicPr>
        <xdr:cNvPr id="14" name="Picture 34" descr="Net Cumulative Savings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" y="1876425"/>
          <a:ext cx="11715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95250</xdr:colOff>
      <xdr:row>4</xdr:row>
      <xdr:rowOff>9525</xdr:rowOff>
    </xdr:from>
    <xdr:to>
      <xdr:col>3</xdr:col>
      <xdr:colOff>1285875</xdr:colOff>
      <xdr:row>4</xdr:row>
      <xdr:rowOff>828675</xdr:rowOff>
    </xdr:to>
    <xdr:pic macro="[0]!mod_Buttons.btn_NSSC_Click">
      <xdr:nvPicPr>
        <xdr:cNvPr id="15" name="Picture 35" descr="Net Savings vs Cost per User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3086100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95250</xdr:colOff>
      <xdr:row>6</xdr:row>
      <xdr:rowOff>9525</xdr:rowOff>
    </xdr:from>
    <xdr:to>
      <xdr:col>5</xdr:col>
      <xdr:colOff>1285875</xdr:colOff>
      <xdr:row>6</xdr:row>
      <xdr:rowOff>828675</xdr:rowOff>
    </xdr:to>
    <xdr:pic macro="[0]!mod_Buttons.btn_SMOU_Click">
      <xdr:nvPicPr>
        <xdr:cNvPr id="16" name="Picture 36" descr="Savings vs Minutes of Use Comp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4295775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104775</xdr:colOff>
      <xdr:row>6</xdr:row>
      <xdr:rowOff>9525</xdr:rowOff>
    </xdr:from>
    <xdr:to>
      <xdr:col>7</xdr:col>
      <xdr:colOff>1295400</xdr:colOff>
      <xdr:row>6</xdr:row>
      <xdr:rowOff>838200</xdr:rowOff>
    </xdr:to>
    <xdr:pic macro="[0]!btn_NSMU_Click">
      <xdr:nvPicPr>
        <xdr:cNvPr id="17" name="Picture 37" descr="Savings vs Minutes of Use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4295775"/>
          <a:ext cx="119062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95250</xdr:colOff>
      <xdr:row>4</xdr:row>
      <xdr:rowOff>9525</xdr:rowOff>
    </xdr:from>
    <xdr:to>
      <xdr:col>5</xdr:col>
      <xdr:colOff>1285875</xdr:colOff>
      <xdr:row>4</xdr:row>
      <xdr:rowOff>828675</xdr:rowOff>
    </xdr:to>
    <xdr:pic macro="[0]!mod_Buttons.btn_TSM_Click">
      <xdr:nvPicPr>
        <xdr:cNvPr id="18" name="Picture 38" descr="Total Spending &amp; Minutes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3086100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95250</xdr:colOff>
      <xdr:row>4</xdr:row>
      <xdr:rowOff>9525</xdr:rowOff>
    </xdr:from>
    <xdr:to>
      <xdr:col>11</xdr:col>
      <xdr:colOff>1285875</xdr:colOff>
      <xdr:row>4</xdr:row>
      <xdr:rowOff>828675</xdr:rowOff>
    </xdr:to>
    <xdr:pic macro="[0]!mod_Buttons.btn_UCPM_Click">
      <xdr:nvPicPr>
        <xdr:cNvPr id="19" name="Picture 39" descr="Usage Cost Per Minut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0075" y="3086100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104775</xdr:colOff>
      <xdr:row>4</xdr:row>
      <xdr:rowOff>9525</xdr:rowOff>
    </xdr:from>
    <xdr:to>
      <xdr:col>1</xdr:col>
      <xdr:colOff>1285875</xdr:colOff>
      <xdr:row>4</xdr:row>
      <xdr:rowOff>828675</xdr:rowOff>
    </xdr:to>
    <xdr:pic macro="[0]!mod_Buttons.btn_WSND_Click">
      <xdr:nvPicPr>
        <xdr:cNvPr id="20" name="Picture 40" descr="Wireless Spend and Number of Devices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086100"/>
          <a:ext cx="1181100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95250</xdr:colOff>
      <xdr:row>2</xdr:row>
      <xdr:rowOff>9525</xdr:rowOff>
    </xdr:from>
    <xdr:to>
      <xdr:col>11</xdr:col>
      <xdr:colOff>1285875</xdr:colOff>
      <xdr:row>2</xdr:row>
      <xdr:rowOff>828675</xdr:rowOff>
    </xdr:to>
    <xdr:pic macro="[0]!mod_Buttons.btn_MSB_Click">
      <xdr:nvPicPr>
        <xdr:cNvPr id="21" name="Picture 42" descr="Monthly Savings vs Baseline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0075" y="1876425"/>
          <a:ext cx="11906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952500</xdr:colOff>
      <xdr:row>0</xdr:row>
      <xdr:rowOff>76200</xdr:rowOff>
    </xdr:from>
    <xdr:to>
      <xdr:col>9</xdr:col>
      <xdr:colOff>38100</xdr:colOff>
      <xdr:row>0</xdr:row>
      <xdr:rowOff>1181100</xdr:rowOff>
    </xdr:to>
    <xdr:sp macro="" textlink="">
      <xdr:nvSpPr>
        <xdr:cNvPr id="22" name="Text Box 67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>
          <a:spLocks noChangeArrowheads="1"/>
        </xdr:cNvSpPr>
      </xdr:nvSpPr>
      <xdr:spPr bwMode="auto">
        <a:xfrm>
          <a:off x="2828925" y="76200"/>
          <a:ext cx="3771900" cy="11049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3600" b="1" i="0" u="none" strike="noStrike" baseline="0">
              <a:solidFill>
                <a:srgbClr val="FFFF00"/>
              </a:solidFill>
              <a:latin typeface="Times New Roman"/>
              <a:cs typeface="Times New Roman"/>
            </a:rPr>
            <a:t>  </a:t>
          </a:r>
          <a:r>
            <a:rPr lang="en-US" sz="3600" b="1" i="0" u="sng" strike="noStrike" baseline="0">
              <a:solidFill>
                <a:srgbClr val="FFFF00"/>
              </a:solidFill>
              <a:latin typeface="Times New Roman"/>
              <a:cs typeface="Times New Roman"/>
            </a:rPr>
            <a:t>SourceMobile</a:t>
          </a:r>
          <a:r>
            <a:rPr lang="en-US" sz="2600" b="1" i="0" u="none" strike="noStrike" baseline="50000">
              <a:solidFill>
                <a:srgbClr val="FFFF00"/>
              </a:solidFill>
              <a:latin typeface="Times New Roman"/>
              <a:cs typeface="Times New Roman"/>
            </a:rPr>
            <a:t>SM</a:t>
          </a:r>
        </a:p>
        <a:p>
          <a:pPr algn="ctr" rtl="0">
            <a:defRPr sz="1000"/>
          </a:pPr>
          <a:r>
            <a:rPr lang="en-US" sz="2600" b="1" i="0" u="sng" strike="noStrike" baseline="0">
              <a:solidFill>
                <a:srgbClr val="FFFFFF"/>
              </a:solidFill>
              <a:latin typeface="Verdana"/>
              <a:ea typeface="Verdana"/>
              <a:cs typeface="Verdana"/>
            </a:rPr>
            <a:t>Charting Suite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0</xdr:rowOff>
    </xdr:from>
    <xdr:to>
      <xdr:col>3</xdr:col>
      <xdr:colOff>342556</xdr:colOff>
      <xdr:row>0</xdr:row>
      <xdr:rowOff>308226</xdr:rowOff>
    </xdr:to>
    <xdr:sp macro="" textlink="">
      <xdr:nvSpPr>
        <xdr:cNvPr id="23" name="Text Box COMP NAME" descr="Slattery-Skanska&#10;Wireless Review&#10;January 2004&#10;Carrier Comparison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173737" cy="3082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none" lIns="36576" tIns="27432" rIns="0" bIns="0" anchor="t" upright="1">
          <a:spAutoFit/>
        </a:bodyPr>
        <a:lstStyle/>
        <a:p>
          <a:pPr algn="l" rtl="0">
            <a:defRPr sz="1000"/>
          </a:pPr>
          <a:r>
            <a:rPr lang="en-US" sz="1800" b="1" i="0" u="none" strike="noStrike" baseline="0">
              <a:solidFill>
                <a:srgbClr val="FFFFFF"/>
              </a:solidFill>
              <a:latin typeface="Verdana"/>
              <a:ea typeface="Verdana"/>
              <a:cs typeface="Verdana"/>
            </a:rPr>
            <a:t>ABC Corporation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514350</xdr:rowOff>
    </xdr:from>
    <xdr:to>
      <xdr:col>3</xdr:col>
      <xdr:colOff>364427</xdr:colOff>
      <xdr:row>0</xdr:row>
      <xdr:rowOff>719855</xdr:rowOff>
    </xdr:to>
    <xdr:sp macro="" textlink="">
      <xdr:nvSpPr>
        <xdr:cNvPr id="24" name="Text Box W Rev" descr="Slattery-Skanska&#10;Wireless Review&#10;January 2004&#10;Carrier Comparison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>
          <a:spLocks noChangeArrowheads="1"/>
        </xdr:cNvSpPr>
      </xdr:nvSpPr>
      <xdr:spPr bwMode="auto">
        <a:xfrm>
          <a:off x="57150" y="514350"/>
          <a:ext cx="2176558" cy="20550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none" lIns="27432" tIns="18288" rIns="0" bIns="0" anchor="t" upright="1">
          <a:spAutoFit/>
        </a:bodyPr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FFFFFF"/>
              </a:solidFill>
              <a:latin typeface="Verdana"/>
              <a:ea typeface="Verdana"/>
              <a:cs typeface="Verdana"/>
            </a:rPr>
            <a:t>Wireless Savings Review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704850</xdr:rowOff>
    </xdr:from>
    <xdr:to>
      <xdr:col>1</xdr:col>
      <xdr:colOff>952340</xdr:colOff>
      <xdr:row>0</xdr:row>
      <xdr:rowOff>910355</xdr:rowOff>
    </xdr:to>
    <xdr:sp macro="" textlink="">
      <xdr:nvSpPr>
        <xdr:cNvPr id="25" name="Text Box Date" descr="Slattery-Skanska&#10;Wireless Review&#10;January 2004&#10;Carrier Comparison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>
          <a:spLocks noChangeArrowheads="1"/>
        </xdr:cNvSpPr>
      </xdr:nvSpPr>
      <xdr:spPr bwMode="auto">
        <a:xfrm>
          <a:off x="57150" y="704850"/>
          <a:ext cx="1204753" cy="20550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none" lIns="27432" tIns="18288" rIns="0" bIns="0" anchor="t" upright="1">
          <a:spAutoFit/>
        </a:bodyPr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FFFFFF"/>
              </a:solidFill>
              <a:latin typeface="Verdana"/>
              <a:ea typeface="Verdana"/>
              <a:cs typeface="Verdana"/>
            </a:rPr>
            <a:t>January 2023</a:t>
          </a:r>
        </a:p>
      </xdr:txBody>
    </xdr:sp>
    <xdr:clientData/>
  </xdr:twoCellAnchor>
  <xdr:twoCellAnchor editAs="absolute">
    <xdr:from>
      <xdr:col>0</xdr:col>
      <xdr:colOff>47625</xdr:colOff>
      <xdr:row>0</xdr:row>
      <xdr:rowOff>285750</xdr:rowOff>
    </xdr:from>
    <xdr:to>
      <xdr:col>2</xdr:col>
      <xdr:colOff>100043</xdr:colOff>
      <xdr:row>0</xdr:row>
      <xdr:rowOff>527035</xdr:rowOff>
    </xdr:to>
    <xdr:sp macro="" textlink="">
      <xdr:nvSpPr>
        <xdr:cNvPr id="26" name="Text Box DIV NAME" descr="Slattery-Skanska&#10;Wireless Review&#10;January 2004&#10;Carrier Comparison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>
          <a:spLocks noChangeArrowheads="1"/>
        </xdr:cNvSpPr>
      </xdr:nvSpPr>
      <xdr:spPr bwMode="auto">
        <a:xfrm>
          <a:off x="47625" y="285750"/>
          <a:ext cx="1743106" cy="24128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wrap="none" lIns="27432" tIns="22860" rIns="0" bIns="0" anchor="t" upright="1">
          <a:spAutoFit/>
        </a:bodyPr>
        <a:lstStyle/>
        <a:p>
          <a:pPr algn="l" rtl="0">
            <a:defRPr sz="1000"/>
          </a:pPr>
          <a:r>
            <a:rPr lang="en-US" sz="1400" b="1" i="0" u="none" strike="noStrike" baseline="0">
              <a:solidFill>
                <a:srgbClr val="FFFFFF"/>
              </a:solidFill>
              <a:latin typeface="Verdana"/>
              <a:ea typeface="Verdana"/>
              <a:cs typeface="Verdana"/>
            </a:rPr>
            <a:t>Executive Report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6</xdr:row>
          <xdr:rowOff>523875</xdr:rowOff>
        </xdr:from>
        <xdr:to>
          <xdr:col>9</xdr:col>
          <xdr:colOff>1323975</xdr:colOff>
          <xdr:row>6</xdr:row>
          <xdr:rowOff>762000</xdr:rowOff>
        </xdr:to>
        <xdr:sp macro="" textlink="">
          <xdr:nvSpPr>
            <xdr:cNvPr id="161795" name="Button 3" hidden="1">
              <a:extLst>
                <a:ext uri="{63B3BB69-23CF-44E3-9099-C40C66FF867C}">
                  <a14:compatExt spid="_x0000_s161795"/>
                </a:ext>
                <a:ext uri="{FF2B5EF4-FFF2-40B4-BE49-F238E27FC236}">
                  <a16:creationId xmlns:a16="http://schemas.microsoft.com/office/drawing/2014/main" id="{00000000-0008-0000-0300-00000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Chart Buttons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523875</xdr:rowOff>
        </xdr:from>
        <xdr:to>
          <xdr:col>11</xdr:col>
          <xdr:colOff>1066800</xdr:colOff>
          <xdr:row>6</xdr:row>
          <xdr:rowOff>762000</xdr:rowOff>
        </xdr:to>
        <xdr:sp macro="" textlink="">
          <xdr:nvSpPr>
            <xdr:cNvPr id="161796" name="Button 4" hidden="1">
              <a:extLst>
                <a:ext uri="{63B3BB69-23CF-44E3-9099-C40C66FF867C}">
                  <a14:compatExt spid="_x0000_s161796"/>
                </a:ext>
                <a:ext uri="{FF2B5EF4-FFF2-40B4-BE49-F238E27FC236}">
                  <a16:creationId xmlns:a16="http://schemas.microsoft.com/office/drawing/2014/main" id="{00000000-0008-0000-0300-00000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Chart Buttons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6</xdr:row>
          <xdr:rowOff>819150</xdr:rowOff>
        </xdr:from>
        <xdr:to>
          <xdr:col>9</xdr:col>
          <xdr:colOff>1323975</xdr:colOff>
          <xdr:row>7</xdr:row>
          <xdr:rowOff>171450</xdr:rowOff>
        </xdr:to>
        <xdr:sp macro="" textlink="">
          <xdr:nvSpPr>
            <xdr:cNvPr id="161799" name="Button 7" hidden="1">
              <a:extLst>
                <a:ext uri="{63B3BB69-23CF-44E3-9099-C40C66FF867C}">
                  <a14:compatExt spid="_x0000_s161799"/>
                </a:ext>
                <a:ext uri="{FF2B5EF4-FFF2-40B4-BE49-F238E27FC236}">
                  <a16:creationId xmlns:a16="http://schemas.microsoft.com/office/drawing/2014/main" id="{00000000-0008-0000-0300-00000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Chart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819150</xdr:rowOff>
        </xdr:from>
        <xdr:to>
          <xdr:col>11</xdr:col>
          <xdr:colOff>1085850</xdr:colOff>
          <xdr:row>7</xdr:row>
          <xdr:rowOff>171450</xdr:rowOff>
        </xdr:to>
        <xdr:sp macro="" textlink="">
          <xdr:nvSpPr>
            <xdr:cNvPr id="161800" name="Button 8" hidden="1">
              <a:extLst>
                <a:ext uri="{63B3BB69-23CF-44E3-9099-C40C66FF867C}">
                  <a14:compatExt spid="_x0000_s161800"/>
                </a:ext>
                <a:ext uri="{FF2B5EF4-FFF2-40B4-BE49-F238E27FC236}">
                  <a16:creationId xmlns:a16="http://schemas.microsoft.com/office/drawing/2014/main" id="{00000000-0008-0000-0300-00000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Chart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6</xdr:row>
          <xdr:rowOff>0</xdr:rowOff>
        </xdr:from>
        <xdr:to>
          <xdr:col>13</xdr:col>
          <xdr:colOff>276225</xdr:colOff>
          <xdr:row>6</xdr:row>
          <xdr:rowOff>342900</xdr:rowOff>
        </xdr:to>
        <xdr:sp macro="" textlink="">
          <xdr:nvSpPr>
            <xdr:cNvPr id="161803" name="Button 11" hidden="1">
              <a:extLst>
                <a:ext uri="{63B3BB69-23CF-44E3-9099-C40C66FF867C}">
                  <a14:compatExt spid="_x0000_s161803"/>
                </a:ext>
                <a:ext uri="{FF2B5EF4-FFF2-40B4-BE49-F238E27FC236}">
                  <a16:creationId xmlns:a16="http://schemas.microsoft.com/office/drawing/2014/main" id="{00000000-0008-0000-0300-00000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Tear It All Down!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6</xdr:row>
          <xdr:rowOff>428625</xdr:rowOff>
        </xdr:from>
        <xdr:to>
          <xdr:col>13</xdr:col>
          <xdr:colOff>276225</xdr:colOff>
          <xdr:row>7</xdr:row>
          <xdr:rowOff>257175</xdr:rowOff>
        </xdr:to>
        <xdr:sp macro="" textlink="">
          <xdr:nvSpPr>
            <xdr:cNvPr id="161804" name="Button 12" hidden="1">
              <a:extLst>
                <a:ext uri="{63B3BB69-23CF-44E3-9099-C40C66FF867C}">
                  <a14:compatExt spid="_x0000_s161804"/>
                </a:ext>
                <a:ext uri="{FF2B5EF4-FFF2-40B4-BE49-F238E27FC236}">
                  <a16:creationId xmlns:a16="http://schemas.microsoft.com/office/drawing/2014/main" id="{00000000-0008-0000-0300-00000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Had fun?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 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Now, put it back together!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933450</xdr:colOff>
          <xdr:row>0</xdr:row>
          <xdr:rowOff>1095375</xdr:rowOff>
        </xdr:from>
        <xdr:to>
          <xdr:col>11</xdr:col>
          <xdr:colOff>609600</xdr:colOff>
          <xdr:row>0</xdr:row>
          <xdr:rowOff>1381125</xdr:rowOff>
        </xdr:to>
        <xdr:sp macro="" textlink="">
          <xdr:nvSpPr>
            <xdr:cNvPr id="161805" name="Button 13" hidden="1">
              <a:extLst>
                <a:ext uri="{63B3BB69-23CF-44E3-9099-C40C66FF867C}">
                  <a14:compatExt spid="_x0000_s161805"/>
                </a:ext>
                <a:ext uri="{FF2B5EF4-FFF2-40B4-BE49-F238E27FC236}">
                  <a16:creationId xmlns:a16="http://schemas.microsoft.com/office/drawing/2014/main" id="{00000000-0008-0000-0300-00000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Take the Chart Tour!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0</xdr:row>
          <xdr:rowOff>1219200</xdr:rowOff>
        </xdr:from>
        <xdr:to>
          <xdr:col>3</xdr:col>
          <xdr:colOff>1247775</xdr:colOff>
          <xdr:row>0</xdr:row>
          <xdr:rowOff>1381125</xdr:rowOff>
        </xdr:to>
        <xdr:sp macro="" textlink="">
          <xdr:nvSpPr>
            <xdr:cNvPr id="161811" name="Button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3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Set Global Zoom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85725</xdr:colOff>
      <xdr:row>0</xdr:row>
      <xdr:rowOff>1095404</xdr:rowOff>
    </xdr:from>
    <xdr:to>
      <xdr:col>13</xdr:col>
      <xdr:colOff>235982</xdr:colOff>
      <xdr:row>0</xdr:row>
      <xdr:rowOff>1381125</xdr:rowOff>
    </xdr:to>
    <xdr:pic macro="[0]!btn_Zoom_In_Click">
      <xdr:nvPicPr>
        <xdr:cNvPr id="27" name="btn_Zoom_InCSS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621308" y="1095404"/>
          <a:ext cx="742924" cy="285721"/>
        </a:xfrm>
        <a:prstGeom prst="rect">
          <a:avLst/>
        </a:prstGeom>
      </xdr:spPr>
    </xdr:pic>
    <xdr:clientData/>
  </xdr:twoCellAnchor>
  <xdr:twoCellAnchor editAs="oneCell">
    <xdr:from>
      <xdr:col>12</xdr:col>
      <xdr:colOff>85725</xdr:colOff>
      <xdr:row>1</xdr:row>
      <xdr:rowOff>7</xdr:rowOff>
    </xdr:from>
    <xdr:to>
      <xdr:col>13</xdr:col>
      <xdr:colOff>235981</xdr:colOff>
      <xdr:row>2</xdr:row>
      <xdr:rowOff>126978</xdr:rowOff>
    </xdr:to>
    <xdr:pic macro="[0]!btn_Zoom_Out_Click">
      <xdr:nvPicPr>
        <xdr:cNvPr id="30" name="btn_Zoom_OutCSS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621308" y="1386424"/>
          <a:ext cx="742923" cy="2857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4</xdr:row>
          <xdr:rowOff>352425</xdr:rowOff>
        </xdr:from>
        <xdr:to>
          <xdr:col>13</xdr:col>
          <xdr:colOff>276225</xdr:colOff>
          <xdr:row>4</xdr:row>
          <xdr:rowOff>581025</xdr:rowOff>
        </xdr:to>
        <xdr:sp macro="" textlink="">
          <xdr:nvSpPr>
            <xdr:cNvPr id="161812" name="Button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3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4</xdr:row>
          <xdr:rowOff>590550</xdr:rowOff>
        </xdr:from>
        <xdr:to>
          <xdr:col>13</xdr:col>
          <xdr:colOff>276225</xdr:colOff>
          <xdr:row>4</xdr:row>
          <xdr:rowOff>819150</xdr:rowOff>
        </xdr:to>
        <xdr:sp macro="" textlink="">
          <xdr:nvSpPr>
            <xdr:cNvPr id="161813" name="Button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3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3</xdr:row>
          <xdr:rowOff>104775</xdr:rowOff>
        </xdr:from>
        <xdr:to>
          <xdr:col>13</xdr:col>
          <xdr:colOff>276225</xdr:colOff>
          <xdr:row>4</xdr:row>
          <xdr:rowOff>238125</xdr:rowOff>
        </xdr:to>
        <xdr:sp macro="" textlink="">
          <xdr:nvSpPr>
            <xdr:cNvPr id="161815" name="Button 23" hidden="1">
              <a:extLst>
                <a:ext uri="{63B3BB69-23CF-44E3-9099-C40C66FF867C}">
                  <a14:compatExt spid="_x0000_s161815"/>
                </a:ext>
                <a:ext uri="{FF2B5EF4-FFF2-40B4-BE49-F238E27FC236}">
                  <a16:creationId xmlns:a16="http://schemas.microsoft.com/office/drawing/2014/main" id="{00000000-0008-0000-0300-00001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 Excel Window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1083470</xdr:colOff>
      <xdr:row>0</xdr:row>
      <xdr:rowOff>369094</xdr:rowOff>
    </xdr:from>
    <xdr:to>
      <xdr:col>15</xdr:col>
      <xdr:colOff>381000</xdr:colOff>
      <xdr:row>0</xdr:row>
      <xdr:rowOff>829989</xdr:rowOff>
    </xdr:to>
    <xdr:sp macro="" textlink="">
      <xdr:nvSpPr>
        <xdr:cNvPr id="33" name="TextBox 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9208295" y="369094"/>
          <a:ext cx="2307430" cy="460895"/>
        </a:xfrm>
        <a:prstGeom prst="rect">
          <a:avLst/>
        </a:prstGeom>
        <a:solidFill>
          <a:sysClr val="window" lastClr="FFFFFF"/>
        </a:solidFill>
        <a:ln w="19050">
          <a:solidFill>
            <a:schemeClr val="accent1"/>
          </a:solidFill>
        </a:ln>
      </xdr:spPr>
      <xdr:txBody>
        <a:bodyPr wrap="square" tIns="18288" bIns="0" rtlCol="0">
          <a:spAutoFit/>
        </a:bodyPr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2400" kern="120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lvl9pPr>
        </a:lstStyle>
        <a:p>
          <a:r>
            <a:rPr lang="en-US" sz="10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 Sweeny</a:t>
          </a:r>
        </a:p>
        <a:p>
          <a:r>
            <a:rPr lang="en-US" sz="10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>
          <a:r>
            <a:rPr lang="en-US" sz="10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036844" cy="67508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0.81725</cdr:x>
      <cdr:y>0</cdr:y>
    </cdr:from>
    <cdr:to>
      <cdr:x>0.991</cdr:x>
      <cdr:y>0.1255</cdr:y>
    </cdr:to>
    <cdr:pic>
      <cdr:nvPicPr>
        <cdr:cNvPr id="66565" name="Picture 5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F7BB5BE6-857E-8A29-FC69-1253428615B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387307" y="0"/>
          <a:ext cx="1570565" cy="847530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0.08915</cdr:x>
      <cdr:y>0.16094</cdr:y>
    </cdr:from>
    <cdr:to>
      <cdr:x>0.1549</cdr:x>
      <cdr:y>0.19669</cdr:y>
    </cdr:to>
    <cdr:grpSp>
      <cdr:nvGrpSpPr>
        <cdr:cNvPr id="66582" name="Group 22">
          <a:extLst xmlns:a="http://schemas.openxmlformats.org/drawingml/2006/main">
            <a:ext uri="{FF2B5EF4-FFF2-40B4-BE49-F238E27FC236}">
              <a16:creationId xmlns:a16="http://schemas.microsoft.com/office/drawing/2014/main" id="{224571DE-CBBC-4CF4-23FF-9152E4CF5957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805635" y="1086481"/>
          <a:ext cx="594172" cy="241343"/>
          <a:chOff x="824979" y="1120585"/>
          <a:chExt cx="771030" cy="247212"/>
        </a:xfrm>
      </cdr:grpSpPr>
      <cdr:sp macro="" textlink="">
        <cdr:nvSpPr>
          <cdr:cNvPr id="66583" name="Text Box 23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66584" name="Line 24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0.6279</cdr:x>
      <cdr:y>0.18513</cdr:y>
    </cdr:from>
    <cdr:to>
      <cdr:x>0.90765</cdr:x>
      <cdr:y>0.33737</cdr:y>
    </cdr:to>
    <cdr:sp macro="" textlink="">
      <cdr:nvSpPr>
        <cdr:cNvPr id="66593" name="Oval 3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664583" y="1246957"/>
          <a:ext cx="2523774" cy="1025436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32004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50" b="1" i="0" u="none" strike="noStrike" baseline="0">
              <a:solidFill>
                <a:srgbClr val="0000FF"/>
              </a:solidFill>
              <a:latin typeface="Arial"/>
              <a:cs typeface="Arial"/>
            </a:rPr>
            <a:t>Average Savings Over Past Nine Months = 45% !</a:t>
          </a:r>
        </a:p>
      </cdr:txBody>
    </cdr:sp>
  </cdr:relSizeAnchor>
  <cdr:relSizeAnchor xmlns:cdr="http://schemas.openxmlformats.org/drawingml/2006/chartDrawing">
    <cdr:from>
      <cdr:x>0</cdr:x>
      <cdr:y>0.022</cdr:y>
    </cdr:from>
    <cdr:to>
      <cdr:x>0.20125</cdr:x>
      <cdr:y>0.04851</cdr:y>
    </cdr:to>
    <cdr:sp macro="" textlink="">
      <cdr:nvSpPr>
        <cdr:cNvPr id="66594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48519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0.047</cdr:y>
    </cdr:from>
    <cdr:to>
      <cdr:x>0.11163</cdr:x>
      <cdr:y>0.07351</cdr:y>
    </cdr:to>
    <cdr:sp macro="" textlink="">
      <cdr:nvSpPr>
        <cdr:cNvPr id="66595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172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0.13444</cdr:x>
      <cdr:y>0.02651</cdr:y>
    </cdr:to>
    <cdr:sp macro="" textlink="">
      <cdr:nvSpPr>
        <cdr:cNvPr id="66596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0.90759</cdr:x>
      <cdr:y>0.16512</cdr:y>
    </cdr:from>
    <cdr:to>
      <cdr:x>0.99457</cdr:x>
      <cdr:y>0.20182</cdr:y>
    </cdr:to>
    <cdr:grpSp>
      <cdr:nvGrpSpPr>
        <cdr:cNvPr id="21" name="Group 20">
          <a:extLst xmlns:a="http://schemas.openxmlformats.org/drawingml/2006/main">
            <a:ext uri="{FF2B5EF4-FFF2-40B4-BE49-F238E27FC236}">
              <a16:creationId xmlns:a16="http://schemas.microsoft.com/office/drawing/2014/main" id="{E5CAC906-BA81-612C-F589-100A76A80AC9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8201749" y="1114699"/>
          <a:ext cx="786025" cy="247756"/>
          <a:chOff x="0" y="55878"/>
          <a:chExt cx="1019914" cy="253800"/>
        </a:xfrm>
      </cdr:grpSpPr>
      <cdr:sp macro="" textlink="">
        <cdr:nvSpPr>
          <cdr:cNvPr id="22" name="Text Box 23" descr="Slattery-Skanska&#10;Wireless Review&#10;January 2004&#10;Carrier Comparison">
            <a:extLst xmlns:a="http://schemas.openxmlformats.org/drawingml/2006/main">
              <a:ext uri="{FF2B5EF4-FFF2-40B4-BE49-F238E27FC236}">
                <a16:creationId xmlns:a16="http://schemas.microsoft.com/office/drawing/2014/main" id="{25C5369C-8C93-736B-15CC-118CD505633A}"/>
              </a:ext>
            </a:extLst>
          </cdr:cNvPr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17687" y="55878"/>
            <a:ext cx="1002227" cy="253800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27432" tIns="18288" rIns="27432" bIns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Average </a:t>
            </a:r>
          </a:p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avings</a:t>
            </a:r>
          </a:p>
        </cdr:txBody>
      </cdr:sp>
      <cdr:sp macro="" textlink="">
        <cdr:nvSpPr>
          <cdr:cNvPr id="23" name="Line 24">
            <a:extLst xmlns:a="http://schemas.openxmlformats.org/drawingml/2006/main">
              <a:ext uri="{FF2B5EF4-FFF2-40B4-BE49-F238E27FC236}">
                <a16:creationId xmlns:a16="http://schemas.microsoft.com/office/drawing/2014/main" id="{67079323-1EB3-20E9-06DE-79D90AB95C25}"/>
              </a:ext>
            </a:extLst>
          </cdr:cNvPr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0" y="292369"/>
            <a:ext cx="1002227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en-US"/>
          </a:p>
        </cdr:txBody>
      </cdr:sp>
    </cdr:grpSp>
  </cdr:relSizeAnchor>
  <cdr:relSizeAnchor xmlns:cdr="http://schemas.openxmlformats.org/drawingml/2006/chartDrawing">
    <cdr:from>
      <cdr:x>0</cdr:x>
      <cdr:y>0.07825</cdr:y>
    </cdr:from>
    <cdr:to>
      <cdr:x>0.22323</cdr:x>
      <cdr:y>0.14008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527050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0.23188</cdr:x>
      <cdr:y>0</cdr:y>
    </cdr:from>
    <cdr:to>
      <cdr:x>0.31409</cdr:x>
      <cdr:y>0.04232</cdr:y>
    </cdr:to>
    <cdr:pic macro="[0]!btn_Home_Click">
      <cdr:nvPicPr>
        <cdr:cNvPr id="15" name="btn_HomeCSS">
          <a:extLst xmlns:a="http://schemas.openxmlformats.org/drawingml/2006/main">
            <a:ext uri="{FF2B5EF4-FFF2-40B4-BE49-F238E27FC236}">
              <a16:creationId xmlns:a16="http://schemas.microsoft.com/office/drawing/2014/main" id="{8D0DBD4D-7F9D-CCB5-77ED-E90455AC069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0.31339</cdr:x>
      <cdr:y>0</cdr:y>
    </cdr:from>
    <cdr:to>
      <cdr:x>0.3956</cdr:x>
      <cdr:y>0.04232</cdr:y>
    </cdr:to>
    <cdr:pic macro="[0]!btn_Next_Click">
      <cdr:nvPicPr>
        <cdr:cNvPr id="16" name="btn_NextCSS">
          <a:extLst xmlns:a="http://schemas.openxmlformats.org/drawingml/2006/main">
            <a:ext uri="{FF2B5EF4-FFF2-40B4-BE49-F238E27FC236}">
              <a16:creationId xmlns:a16="http://schemas.microsoft.com/office/drawing/2014/main" id="{D01952C8-31D9-2A88-FC2A-7A7ED8E93C2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0.39491</cdr:x>
      <cdr:y>0</cdr:y>
    </cdr:from>
    <cdr:to>
      <cdr:x>0.47711</cdr:x>
      <cdr:y>0.04232</cdr:y>
    </cdr:to>
    <cdr:pic macro="[0]!btn_Previous_Click">
      <cdr:nvPicPr>
        <cdr:cNvPr id="17" name="btn_PreviousCSS">
          <a:extLst xmlns:a="http://schemas.openxmlformats.org/drawingml/2006/main">
            <a:ext uri="{FF2B5EF4-FFF2-40B4-BE49-F238E27FC236}">
              <a16:creationId xmlns:a16="http://schemas.microsoft.com/office/drawing/2014/main" id="{CF0FC892-7E69-BD2F-6F82-A8FA5DD3E7E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0.47642</cdr:x>
      <cdr:y>0</cdr:y>
    </cdr:from>
    <cdr:to>
      <cdr:x>0.55862</cdr:x>
      <cdr:y>0.04232</cdr:y>
    </cdr:to>
    <cdr:pic macro="[0]!btn_Zoom_In_Click">
      <cdr:nvPicPr>
        <cdr:cNvPr id="18" name="btn_Zoom_InCSS">
          <a:extLst xmlns:a="http://schemas.openxmlformats.org/drawingml/2006/main">
            <a:ext uri="{FF2B5EF4-FFF2-40B4-BE49-F238E27FC236}">
              <a16:creationId xmlns:a16="http://schemas.microsoft.com/office/drawing/2014/main" id="{69EF5C8B-7ED3-06A5-92CB-38E26374E97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0.55793</cdr:x>
      <cdr:y>0</cdr:y>
    </cdr:from>
    <cdr:to>
      <cdr:x>0.64013</cdr:x>
      <cdr:y>0.04232</cdr:y>
    </cdr:to>
    <cdr:pic macro="[0]!btn_Zoom_Out_Click">
      <cdr:nvPicPr>
        <cdr:cNvPr id="19" name="btn_Zoom_OutCSS">
          <a:extLst xmlns:a="http://schemas.openxmlformats.org/drawingml/2006/main">
            <a:ext uri="{FF2B5EF4-FFF2-40B4-BE49-F238E27FC236}">
              <a16:creationId xmlns:a16="http://schemas.microsoft.com/office/drawing/2014/main" id="{D1CF3E36-87C1-E7C2-B608-8A90A787669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0.63944</cdr:x>
      <cdr:y>0</cdr:y>
    </cdr:from>
    <cdr:to>
      <cdr:x>0.75326</cdr:x>
      <cdr:y>0.04232</cdr:y>
    </cdr:to>
    <cdr:pic macro="[0]!btn_Print_Click">
      <cdr:nvPicPr>
        <cdr:cNvPr id="20" name="btn_PrintCSS">
          <a:extLst xmlns:a="http://schemas.openxmlformats.org/drawingml/2006/main">
            <a:ext uri="{FF2B5EF4-FFF2-40B4-BE49-F238E27FC236}">
              <a16:creationId xmlns:a16="http://schemas.microsoft.com/office/drawing/2014/main" id="{FE113F79-0D26-F101-E3D5-C73C7FA7413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489281" cy="6977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0.81375</cdr:x>
      <cdr:y>0</cdr:y>
    </cdr:from>
    <cdr:to>
      <cdr:x>0.98425</cdr:x>
      <cdr:y>0.1255</cdr:y>
    </cdr:to>
    <cdr:pic>
      <cdr:nvPicPr>
        <cdr:cNvPr id="63492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5497DA8E-EF8D-F7A1-E7A8-652BB5E646B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727716" y="0"/>
          <a:ext cx="1619140" cy="876219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0.20275</cdr:x>
      <cdr:y>0.255</cdr:y>
    </cdr:from>
    <cdr:to>
      <cdr:x>0.503</cdr:x>
      <cdr:y>0.46775</cdr:y>
    </cdr:to>
    <cdr:sp macro="" textlink="">
      <cdr:nvSpPr>
        <cdr:cNvPr id="63510" name="Oval 2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5400" y="1780365"/>
          <a:ext cx="2851302" cy="1485384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32004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1" i="0" u="none" strike="noStrike" baseline="0">
              <a:solidFill>
                <a:srgbClr val="0000FF"/>
              </a:solidFill>
              <a:latin typeface="Arial"/>
              <a:cs typeface="Arial"/>
            </a:rPr>
            <a:t>12 Month Cumulative NET Savings on 481 Phones = $253,811*</a:t>
          </a:r>
        </a:p>
      </cdr:txBody>
    </cdr:sp>
  </cdr:relSizeAnchor>
  <cdr:relSizeAnchor xmlns:cdr="http://schemas.openxmlformats.org/drawingml/2006/chartDrawing">
    <cdr:from>
      <cdr:x>0</cdr:x>
      <cdr:y>0.029</cdr:y>
    </cdr:from>
    <cdr:to>
      <cdr:x>0.19165</cdr:x>
      <cdr:y>0.05465</cdr:y>
    </cdr:to>
    <cdr:sp macro="" textlink="">
      <cdr:nvSpPr>
        <cdr:cNvPr id="63512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202335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0.05175</cdr:y>
    </cdr:from>
    <cdr:to>
      <cdr:x>0.1063</cdr:x>
      <cdr:y>0.0774</cdr:y>
    </cdr:to>
    <cdr:sp macro="" textlink="">
      <cdr:nvSpPr>
        <cdr:cNvPr id="63513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61063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0.0045</cdr:y>
    </cdr:from>
    <cdr:to>
      <cdr:x>0.12803</cdr:x>
      <cdr:y>0.03015</cdr:y>
    </cdr:to>
    <cdr:sp macro="" textlink="">
      <cdr:nvSpPr>
        <cdr:cNvPr id="63514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1397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0.15208</cdr:x>
      <cdr:y>0.8847</cdr:y>
    </cdr:from>
    <cdr:to>
      <cdr:x>0.90244</cdr:x>
      <cdr:y>0.90918</cdr:y>
    </cdr:to>
    <cdr:sp macro="" textlink="">
      <cdr:nvSpPr>
        <cdr:cNvPr id="63520" name="Text Box 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42354" y="6163584"/>
          <a:ext cx="7116548" cy="1705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square" lIns="18288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chemeClr val="accent1"/>
              </a:solidFill>
              <a:latin typeface="Arial"/>
              <a:cs typeface="Arial"/>
            </a:rPr>
            <a:t>* Net Savings shown is AFTER all fees paid to Mobile Enterprises including initial implementation fee.</a:t>
          </a:r>
        </a:p>
      </cdr:txBody>
    </cdr:sp>
  </cdr:relSizeAnchor>
  <cdr:relSizeAnchor xmlns:cdr="http://schemas.openxmlformats.org/drawingml/2006/chartDrawing">
    <cdr:from>
      <cdr:x>0</cdr:x>
      <cdr:y>0.08151</cdr:y>
    </cdr:from>
    <cdr:to>
      <cdr:x>0.21234</cdr:x>
      <cdr:y>0.14129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567871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0.22083</cdr:x>
      <cdr:y>0</cdr:y>
    </cdr:from>
    <cdr:to>
      <cdr:x>0.29911</cdr:x>
      <cdr:y>0.04095</cdr:y>
    </cdr:to>
    <cdr:pic macro="[0]!btn_Home_Click">
      <cdr:nvPicPr>
        <cdr:cNvPr id="15" name="btn_HomeNCS">
          <a:extLst xmlns:a="http://schemas.openxmlformats.org/drawingml/2006/main">
            <a:ext uri="{FF2B5EF4-FFF2-40B4-BE49-F238E27FC236}">
              <a16:creationId xmlns:a16="http://schemas.microsoft.com/office/drawing/2014/main" id="{BED01E75-7E41-60BB-3395-80C20C9317C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0.29845</cdr:x>
      <cdr:y>0</cdr:y>
    </cdr:from>
    <cdr:to>
      <cdr:x>0.37674</cdr:x>
      <cdr:y>0.04095</cdr:y>
    </cdr:to>
    <cdr:pic macro="[0]!btn_Next_Click">
      <cdr:nvPicPr>
        <cdr:cNvPr id="16" name="btn_NextNCS">
          <a:extLst xmlns:a="http://schemas.openxmlformats.org/drawingml/2006/main">
            <a:ext uri="{FF2B5EF4-FFF2-40B4-BE49-F238E27FC236}">
              <a16:creationId xmlns:a16="http://schemas.microsoft.com/office/drawing/2014/main" id="{C38A3BA1-F531-AC57-B4C0-1CD1B4A4E5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0.37608</cdr:x>
      <cdr:y>0</cdr:y>
    </cdr:from>
    <cdr:to>
      <cdr:x>0.45436</cdr:x>
      <cdr:y>0.04095</cdr:y>
    </cdr:to>
    <cdr:pic macro="[0]!btn_Previous_Click">
      <cdr:nvPicPr>
        <cdr:cNvPr id="17" name="btn_PreviousNCS">
          <a:extLst xmlns:a="http://schemas.openxmlformats.org/drawingml/2006/main">
            <a:ext uri="{FF2B5EF4-FFF2-40B4-BE49-F238E27FC236}">
              <a16:creationId xmlns:a16="http://schemas.microsoft.com/office/drawing/2014/main" id="{FFEE58E8-01D1-AED2-FD2C-50B8F5E8294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0.4537</cdr:x>
      <cdr:y>0</cdr:y>
    </cdr:from>
    <cdr:to>
      <cdr:x>0.53199</cdr:x>
      <cdr:y>0.04095</cdr:y>
    </cdr:to>
    <cdr:pic macro="[0]!btn_Zoom_In_Click">
      <cdr:nvPicPr>
        <cdr:cNvPr id="18" name="btn_Zoom_InNCS">
          <a:extLst xmlns:a="http://schemas.openxmlformats.org/drawingml/2006/main">
            <a:ext uri="{FF2B5EF4-FFF2-40B4-BE49-F238E27FC236}">
              <a16:creationId xmlns:a16="http://schemas.microsoft.com/office/drawing/2014/main" id="{A188FD88-8F25-60CB-1816-E36BA5264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0.53133</cdr:x>
      <cdr:y>0</cdr:y>
    </cdr:from>
    <cdr:to>
      <cdr:x>0.60961</cdr:x>
      <cdr:y>0.04095</cdr:y>
    </cdr:to>
    <cdr:pic macro="[0]!btn_Zoom_Out_Click">
      <cdr:nvPicPr>
        <cdr:cNvPr id="19" name="btn_Zoom_OutNCS">
          <a:extLst xmlns:a="http://schemas.openxmlformats.org/drawingml/2006/main">
            <a:ext uri="{FF2B5EF4-FFF2-40B4-BE49-F238E27FC236}">
              <a16:creationId xmlns:a16="http://schemas.microsoft.com/office/drawing/2014/main" id="{4C0D6143-46C5-A3B0-CB05-3F11FCA8F56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0.60895</cdr:x>
      <cdr:y>0</cdr:y>
    </cdr:from>
    <cdr:to>
      <cdr:x>0.71734</cdr:x>
      <cdr:y>0.04095</cdr:y>
    </cdr:to>
    <cdr:pic macro="[0]!btn_Print_Click">
      <cdr:nvPicPr>
        <cdr:cNvPr id="20" name="btn_PrintNCS">
          <a:extLst xmlns:a="http://schemas.openxmlformats.org/drawingml/2006/main">
            <a:ext uri="{FF2B5EF4-FFF2-40B4-BE49-F238E27FC236}">
              <a16:creationId xmlns:a16="http://schemas.microsoft.com/office/drawing/2014/main" id="{361C15E8-687A-1494-5454-38ABD9525B2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036844" cy="67508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0.81425</cdr:x>
      <cdr:y>0</cdr:y>
    </cdr:from>
    <cdr:to>
      <cdr:x>0.98075</cdr:x>
      <cdr:y>0.11275</cdr:y>
    </cdr:to>
    <cdr:pic>
      <cdr:nvPicPr>
        <cdr:cNvPr id="49156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8278368F-4731-D5F0-4D34-1C68A6155F69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360189" y="0"/>
          <a:ext cx="1505031" cy="761426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0.92475</cdr:x>
      <cdr:y>0.13493</cdr:y>
    </cdr:from>
    <cdr:to>
      <cdr:x>0.989</cdr:x>
      <cdr:y>0.20549</cdr:y>
    </cdr:to>
    <cdr:grpSp>
      <cdr:nvGrpSpPr>
        <cdr:cNvPr id="49160" name="Group 8">
          <a:extLst xmlns:a="http://schemas.openxmlformats.org/drawingml/2006/main">
            <a:ext uri="{FF2B5EF4-FFF2-40B4-BE49-F238E27FC236}">
              <a16:creationId xmlns:a16="http://schemas.microsoft.com/office/drawing/2014/main" id="{9D13074D-0718-158C-9E5A-AD7FF855FB84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8356821" y="910891"/>
          <a:ext cx="580618" cy="476340"/>
          <a:chOff x="8112671" y="914374"/>
          <a:chExt cx="824979" cy="450170"/>
        </a:xfrm>
      </cdr:grpSpPr>
      <cdr:sp macro="" textlink="">
        <cdr:nvSpPr>
          <cdr:cNvPr id="49161" name="Text Box 9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112671" y="914374"/>
            <a:ext cx="824979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50196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Minutes</a:t>
            </a:r>
          </a:p>
        </cdr:txBody>
      </cdr:sp>
      <cdr:sp macro="" textlink="">
        <cdr:nvSpPr>
          <cdr:cNvPr id="49162" name="Line 10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112671" y="1364544"/>
            <a:ext cx="824979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0.10925</cdr:x>
      <cdr:y>0.14301</cdr:y>
    </cdr:from>
    <cdr:to>
      <cdr:x>0.17425</cdr:x>
      <cdr:y>0.20549</cdr:y>
    </cdr:to>
    <cdr:grpSp>
      <cdr:nvGrpSpPr>
        <cdr:cNvPr id="49166" name="Group 14">
          <a:extLst xmlns:a="http://schemas.openxmlformats.org/drawingml/2006/main">
            <a:ext uri="{FF2B5EF4-FFF2-40B4-BE49-F238E27FC236}">
              <a16:creationId xmlns:a16="http://schemas.microsoft.com/office/drawing/2014/main" id="{F7A62CBD-D3B5-1B34-20B2-ABE341CCFAC2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987275" y="965438"/>
          <a:ext cx="587395" cy="421793"/>
          <a:chOff x="824979" y="965926"/>
          <a:chExt cx="771030" cy="398618"/>
        </a:xfrm>
      </cdr:grpSpPr>
      <cdr:sp macro="" textlink="">
        <cdr:nvSpPr>
          <cdr:cNvPr id="49167" name="Text Box 15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965926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49168" name="Line 16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0.00125</cdr:x>
      <cdr:y>0.0315</cdr:y>
    </cdr:from>
    <cdr:to>
      <cdr:x>0.2025</cdr:x>
      <cdr:y>0.05801</cdr:y>
    </cdr:to>
    <cdr:sp macro="" textlink="">
      <cdr:nvSpPr>
        <cdr:cNvPr id="49171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296" y="212652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0.00125</cdr:x>
      <cdr:y>0.0565</cdr:y>
    </cdr:from>
    <cdr:to>
      <cdr:x>0.11288</cdr:x>
      <cdr:y>0.08301</cdr:y>
    </cdr:to>
    <cdr:sp macro="" textlink="">
      <cdr:nvSpPr>
        <cdr:cNvPr id="49172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296" y="381423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0.00125</cdr:x>
      <cdr:y>0.005</cdr:y>
    </cdr:from>
    <cdr:to>
      <cdr:x>0.13569</cdr:x>
      <cdr:y>0.03151</cdr:y>
    </cdr:to>
    <cdr:sp macro="" textlink="">
      <cdr:nvSpPr>
        <cdr:cNvPr id="49173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296" y="33754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0.08229</cdr:y>
    </cdr:from>
    <cdr:to>
      <cdr:x>0.22323</cdr:x>
      <cdr:y>0.14412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554264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0.23188</cdr:x>
      <cdr:y>0</cdr:y>
    </cdr:from>
    <cdr:to>
      <cdr:x>0.31409</cdr:x>
      <cdr:y>0.04232</cdr:y>
    </cdr:to>
    <cdr:pic macro="[0]!btn_Home_Click">
      <cdr:nvPicPr>
        <cdr:cNvPr id="15" name="btn_HomeWSM">
          <a:extLst xmlns:a="http://schemas.openxmlformats.org/drawingml/2006/main">
            <a:ext uri="{FF2B5EF4-FFF2-40B4-BE49-F238E27FC236}">
              <a16:creationId xmlns:a16="http://schemas.microsoft.com/office/drawing/2014/main" id="{35647192-D403-21A4-5337-2A76BCADC0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0.31339</cdr:x>
      <cdr:y>0</cdr:y>
    </cdr:from>
    <cdr:to>
      <cdr:x>0.3956</cdr:x>
      <cdr:y>0.04232</cdr:y>
    </cdr:to>
    <cdr:pic macro="[0]!btn_Next_Click">
      <cdr:nvPicPr>
        <cdr:cNvPr id="16" name="btn_NextWSM">
          <a:extLst xmlns:a="http://schemas.openxmlformats.org/drawingml/2006/main">
            <a:ext uri="{FF2B5EF4-FFF2-40B4-BE49-F238E27FC236}">
              <a16:creationId xmlns:a16="http://schemas.microsoft.com/office/drawing/2014/main" id="{4BFAD14D-A708-E7D9-37C2-2F0F6F24CC0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0.39491</cdr:x>
      <cdr:y>0</cdr:y>
    </cdr:from>
    <cdr:to>
      <cdr:x>0.47711</cdr:x>
      <cdr:y>0.04232</cdr:y>
    </cdr:to>
    <cdr:pic macro="[0]!btn_Previous_Click">
      <cdr:nvPicPr>
        <cdr:cNvPr id="17" name="btn_PreviousWSM">
          <a:extLst xmlns:a="http://schemas.openxmlformats.org/drawingml/2006/main">
            <a:ext uri="{FF2B5EF4-FFF2-40B4-BE49-F238E27FC236}">
              <a16:creationId xmlns:a16="http://schemas.microsoft.com/office/drawing/2014/main" id="{C3FA0BA6-B9F7-ACDB-D5E6-D1984DDEA4B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0.47642</cdr:x>
      <cdr:y>0</cdr:y>
    </cdr:from>
    <cdr:to>
      <cdr:x>0.55862</cdr:x>
      <cdr:y>0.04232</cdr:y>
    </cdr:to>
    <cdr:pic macro="[0]!btn_Zoom_In_Click">
      <cdr:nvPicPr>
        <cdr:cNvPr id="18" name="btn_Zoom_InWSM">
          <a:extLst xmlns:a="http://schemas.openxmlformats.org/drawingml/2006/main">
            <a:ext uri="{FF2B5EF4-FFF2-40B4-BE49-F238E27FC236}">
              <a16:creationId xmlns:a16="http://schemas.microsoft.com/office/drawing/2014/main" id="{2AA4A01A-74E4-4428-04A1-7E330F4183B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0.55793</cdr:x>
      <cdr:y>0</cdr:y>
    </cdr:from>
    <cdr:to>
      <cdr:x>0.64013</cdr:x>
      <cdr:y>0.04232</cdr:y>
    </cdr:to>
    <cdr:pic macro="[0]!btn_Zoom_Out_Click">
      <cdr:nvPicPr>
        <cdr:cNvPr id="19" name="btn_Zoom_OutWSM">
          <a:extLst xmlns:a="http://schemas.openxmlformats.org/drawingml/2006/main">
            <a:ext uri="{FF2B5EF4-FFF2-40B4-BE49-F238E27FC236}">
              <a16:creationId xmlns:a16="http://schemas.microsoft.com/office/drawing/2014/main" id="{CBCD4506-A366-DAFB-96BA-B0DE58AC49A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0.63944</cdr:x>
      <cdr:y>0</cdr:y>
    </cdr:from>
    <cdr:to>
      <cdr:x>0.75326</cdr:x>
      <cdr:y>0.04232</cdr:y>
    </cdr:to>
    <cdr:pic macro="[0]!btn_Print_Click">
      <cdr:nvPicPr>
        <cdr:cNvPr id="20" name="btn_PrintWSM">
          <a:extLst xmlns:a="http://schemas.openxmlformats.org/drawingml/2006/main">
            <a:ext uri="{FF2B5EF4-FFF2-40B4-BE49-F238E27FC236}">
              <a16:creationId xmlns:a16="http://schemas.microsoft.com/office/drawing/2014/main" id="{E97BBC1A-E896-3ABD-5521-4A1FF8068AD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0.81575</cdr:x>
      <cdr:y>0</cdr:y>
    </cdr:from>
    <cdr:to>
      <cdr:x>0.99</cdr:x>
      <cdr:y>0.1255</cdr:y>
    </cdr:to>
    <cdr:pic>
      <cdr:nvPicPr>
        <cdr:cNvPr id="50180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94461CDD-053F-D9CA-264A-A87248D80809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81917" y="0"/>
          <a:ext cx="1491387" cy="730894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0.0815</cdr:x>
      <cdr:y>0.15175</cdr:y>
    </cdr:from>
    <cdr:to>
      <cdr:x>0.1515</cdr:x>
      <cdr:y>0.19725</cdr:y>
    </cdr:to>
    <cdr:grpSp>
      <cdr:nvGrpSpPr>
        <cdr:cNvPr id="50202" name="Group 26">
          <a:extLst xmlns:a="http://schemas.openxmlformats.org/drawingml/2006/main">
            <a:ext uri="{FF2B5EF4-FFF2-40B4-BE49-F238E27FC236}">
              <a16:creationId xmlns:a16="http://schemas.microsoft.com/office/drawing/2014/main" id="{D24FB9B6-8359-3047-D47D-D6F2CD6EEDAE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699629" y="885319"/>
          <a:ext cx="600909" cy="265450"/>
          <a:chOff x="824979" y="1120585"/>
          <a:chExt cx="771030" cy="247212"/>
        </a:xfrm>
      </cdr:grpSpPr>
      <cdr:sp macro="" textlink="">
        <cdr:nvSpPr>
          <cdr:cNvPr id="50203" name="Text Box 27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50204" name="Line 28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0207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0208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0209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0.08583</cdr:y>
    </cdr:from>
    <cdr:to>
      <cdr:x>0.23529</cdr:x>
      <cdr:y>0.15734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499836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YTDTC">
          <a:extLst xmlns:a="http://schemas.openxmlformats.org/drawingml/2006/main">
            <a:ext uri="{FF2B5EF4-FFF2-40B4-BE49-F238E27FC236}">
              <a16:creationId xmlns:a16="http://schemas.microsoft.com/office/drawing/2014/main" id="{E7B45861-5F9B-E866-D076-BC7A30BEA18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YTDTC">
          <a:extLst xmlns:a="http://schemas.openxmlformats.org/drawingml/2006/main">
            <a:ext uri="{FF2B5EF4-FFF2-40B4-BE49-F238E27FC236}">
              <a16:creationId xmlns:a16="http://schemas.microsoft.com/office/drawing/2014/main" id="{9E4E6A33-DB4A-C2B3-101E-FB88E061DB1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YTDTC">
          <a:extLst xmlns:a="http://schemas.openxmlformats.org/drawingml/2006/main">
            <a:ext uri="{FF2B5EF4-FFF2-40B4-BE49-F238E27FC236}">
              <a16:creationId xmlns:a16="http://schemas.microsoft.com/office/drawing/2014/main" id="{B4AB39C0-DE7A-5AFF-5B69-D1629035B6F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YTDTC">
          <a:extLst xmlns:a="http://schemas.openxmlformats.org/drawingml/2006/main">
            <a:ext uri="{FF2B5EF4-FFF2-40B4-BE49-F238E27FC236}">
              <a16:creationId xmlns:a16="http://schemas.microsoft.com/office/drawing/2014/main" id="{99625B36-7AFB-CBC4-689D-CFB7C054F37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YTDTC">
          <a:extLst xmlns:a="http://schemas.openxmlformats.org/drawingml/2006/main">
            <a:ext uri="{FF2B5EF4-FFF2-40B4-BE49-F238E27FC236}">
              <a16:creationId xmlns:a16="http://schemas.microsoft.com/office/drawing/2014/main" id="{E045F784-0833-F155-5477-FDB20D278B8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YTDTC">
          <a:extLst xmlns:a="http://schemas.openxmlformats.org/drawingml/2006/main">
            <a:ext uri="{FF2B5EF4-FFF2-40B4-BE49-F238E27FC236}">
              <a16:creationId xmlns:a16="http://schemas.microsoft.com/office/drawing/2014/main" id="{FB6BEB30-90FA-6CA8-B7C5-31105B6DA1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0.815</cdr:x>
      <cdr:y>0</cdr:y>
    </cdr:from>
    <cdr:to>
      <cdr:x>0.98925</cdr:x>
      <cdr:y>0.1255</cdr:y>
    </cdr:to>
    <cdr:pic>
      <cdr:nvPicPr>
        <cdr:cNvPr id="55304" name="Picture 8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74018B1E-A788-6E91-38AE-C1C5F147032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94350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5314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5315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5316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0.09517</cdr:y>
    </cdr:from>
    <cdr:to>
      <cdr:x>0.24801</cdr:x>
      <cdr:y>0.16668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2B56E3B7-CC8C-BB80-25A4-B470D8545C25}"/>
            </a:ext>
          </a:extLst>
        </cdr:cNvPr>
        <cdr:cNvSpPr txBox="1"/>
      </cdr:nvSpPr>
      <cdr:spPr>
        <a:xfrm xmlns:a="http://schemas.openxmlformats.org/drawingml/2006/main">
          <a:off x="0" y="554264"/>
          <a:ext cx="2122714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MSB">
          <a:extLst xmlns:a="http://schemas.openxmlformats.org/drawingml/2006/main">
            <a:ext uri="{FF2B5EF4-FFF2-40B4-BE49-F238E27FC236}">
              <a16:creationId xmlns:a16="http://schemas.microsoft.com/office/drawing/2014/main" id="{31B32016-67EF-47F5-66B0-C4467719E96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MSB">
          <a:extLst xmlns:a="http://schemas.openxmlformats.org/drawingml/2006/main">
            <a:ext uri="{FF2B5EF4-FFF2-40B4-BE49-F238E27FC236}">
              <a16:creationId xmlns:a16="http://schemas.microsoft.com/office/drawing/2014/main" id="{F9240EAE-BD62-26D7-5FCC-E17D4C1224C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MSB">
          <a:extLst xmlns:a="http://schemas.openxmlformats.org/drawingml/2006/main">
            <a:ext uri="{FF2B5EF4-FFF2-40B4-BE49-F238E27FC236}">
              <a16:creationId xmlns:a16="http://schemas.microsoft.com/office/drawing/2014/main" id="{351106EE-1D4F-1ABD-DF1F-A3C5A7BDC88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MSB">
          <a:extLst xmlns:a="http://schemas.openxmlformats.org/drawingml/2006/main">
            <a:ext uri="{FF2B5EF4-FFF2-40B4-BE49-F238E27FC236}">
              <a16:creationId xmlns:a16="http://schemas.microsoft.com/office/drawing/2014/main" id="{0666DE52-82CE-0000-B573-C237643F5FA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MSB">
          <a:extLst xmlns:a="http://schemas.openxmlformats.org/drawingml/2006/main">
            <a:ext uri="{FF2B5EF4-FFF2-40B4-BE49-F238E27FC236}">
              <a16:creationId xmlns:a16="http://schemas.microsoft.com/office/drawing/2014/main" id="{807A6512-F875-5BAE-1C95-4A020B89D1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MSB">
          <a:extLst xmlns:a="http://schemas.openxmlformats.org/drawingml/2006/main">
            <a:ext uri="{FF2B5EF4-FFF2-40B4-BE49-F238E27FC236}">
              <a16:creationId xmlns:a16="http://schemas.microsoft.com/office/drawing/2014/main" id="{0C67961C-C9F5-1681-2D0F-7A3F30269BC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0.7975</cdr:x>
      <cdr:y>0</cdr:y>
    </cdr:from>
    <cdr:to>
      <cdr:x>0.97175</cdr:x>
      <cdr:y>0.1255</cdr:y>
    </cdr:to>
    <cdr:pic>
      <cdr:nvPicPr>
        <cdr:cNvPr id="51204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DE1E173F-62B3-2E67-4724-2F75BB45CFF8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844165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0.1185</cdr:x>
      <cdr:y>0.158</cdr:y>
    </cdr:from>
    <cdr:to>
      <cdr:x>0.18875</cdr:x>
      <cdr:y>0.20175</cdr:y>
    </cdr:to>
    <cdr:grpSp>
      <cdr:nvGrpSpPr>
        <cdr:cNvPr id="51214" name="Group 14">
          <a:extLst xmlns:a="http://schemas.openxmlformats.org/drawingml/2006/main">
            <a:ext uri="{FF2B5EF4-FFF2-40B4-BE49-F238E27FC236}">
              <a16:creationId xmlns:a16="http://schemas.microsoft.com/office/drawing/2014/main" id="{29D8FB7A-CA31-81C7-8A7D-B2C720742FAD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1017252" y="921782"/>
          <a:ext cx="603055" cy="255240"/>
          <a:chOff x="824979" y="1120585"/>
          <a:chExt cx="771030" cy="247212"/>
        </a:xfrm>
      </cdr:grpSpPr>
      <cdr:sp macro="" textlink="">
        <cdr:nvSpPr>
          <cdr:cNvPr id="51215" name="Text Box 15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51216" name="Line 16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1218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1219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1220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0.00117</cdr:x>
      <cdr:y>0.08583</cdr:y>
    </cdr:from>
    <cdr:to>
      <cdr:x>0.23646</cdr:x>
      <cdr:y>0.15734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9979" y="499836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WSND">
          <a:extLst xmlns:a="http://schemas.openxmlformats.org/drawingml/2006/main">
            <a:ext uri="{FF2B5EF4-FFF2-40B4-BE49-F238E27FC236}">
              <a16:creationId xmlns:a16="http://schemas.microsoft.com/office/drawing/2014/main" id="{55CCD928-E888-EDFF-DF5D-B8C8B7C7770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WSND">
          <a:extLst xmlns:a="http://schemas.openxmlformats.org/drawingml/2006/main">
            <a:ext uri="{FF2B5EF4-FFF2-40B4-BE49-F238E27FC236}">
              <a16:creationId xmlns:a16="http://schemas.microsoft.com/office/drawing/2014/main" id="{83A2BBFA-17F3-9C8B-E751-0B8D81029B2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WSND">
          <a:extLst xmlns:a="http://schemas.openxmlformats.org/drawingml/2006/main">
            <a:ext uri="{FF2B5EF4-FFF2-40B4-BE49-F238E27FC236}">
              <a16:creationId xmlns:a16="http://schemas.microsoft.com/office/drawing/2014/main" id="{1C288381-71DF-1ADC-B5A1-4CEF9D15BE8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WSND">
          <a:extLst xmlns:a="http://schemas.openxmlformats.org/drawingml/2006/main">
            <a:ext uri="{FF2B5EF4-FFF2-40B4-BE49-F238E27FC236}">
              <a16:creationId xmlns:a16="http://schemas.microsoft.com/office/drawing/2014/main" id="{CE805C7E-E653-7CA7-86D0-B557F1BB467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WSND">
          <a:extLst xmlns:a="http://schemas.openxmlformats.org/drawingml/2006/main">
            <a:ext uri="{FF2B5EF4-FFF2-40B4-BE49-F238E27FC236}">
              <a16:creationId xmlns:a16="http://schemas.microsoft.com/office/drawing/2014/main" id="{0EA5FDAD-B7FD-4343-3D8F-4AEAC2E3954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WSND">
          <a:extLst xmlns:a="http://schemas.openxmlformats.org/drawingml/2006/main">
            <a:ext uri="{FF2B5EF4-FFF2-40B4-BE49-F238E27FC236}">
              <a16:creationId xmlns:a16="http://schemas.microsoft.com/office/drawing/2014/main" id="{99B48D58-06BB-4B56-236E-225E350AE0B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0.8125</cdr:x>
      <cdr:y>0</cdr:y>
    </cdr:from>
    <cdr:to>
      <cdr:x>0.98675</cdr:x>
      <cdr:y>0.1255</cdr:y>
    </cdr:to>
    <cdr:pic>
      <cdr:nvPicPr>
        <cdr:cNvPr id="59396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212561DF-D216-3392-777A-5FC75BF94975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72895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0.0765</cdr:x>
      <cdr:y>0.17175</cdr:y>
    </cdr:from>
    <cdr:to>
      <cdr:x>0.14725</cdr:x>
      <cdr:y>0.21525</cdr:y>
    </cdr:to>
    <cdr:grpSp>
      <cdr:nvGrpSpPr>
        <cdr:cNvPr id="59404" name="Group 12">
          <a:extLst xmlns:a="http://schemas.openxmlformats.org/drawingml/2006/main">
            <a:ext uri="{FF2B5EF4-FFF2-40B4-BE49-F238E27FC236}">
              <a16:creationId xmlns:a16="http://schemas.microsoft.com/office/drawing/2014/main" id="{857541AD-DA6E-649F-1D76-21AAE706CFF6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656707" y="1002000"/>
          <a:ext cx="607347" cy="253782"/>
          <a:chOff x="824979" y="1120585"/>
          <a:chExt cx="771030" cy="247212"/>
        </a:xfrm>
      </cdr:grpSpPr>
      <cdr:sp macro="" textlink="">
        <cdr:nvSpPr>
          <cdr:cNvPr id="59405" name="Text Box 13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59406" name="Line 14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0.90475</cdr:x>
      <cdr:y>0.17175</cdr:y>
    </cdr:from>
    <cdr:to>
      <cdr:x>1</cdr:x>
      <cdr:y>0.219</cdr:y>
    </cdr:to>
    <cdr:grpSp>
      <cdr:nvGrpSpPr>
        <cdr:cNvPr id="59407" name="Group 15">
          <a:extLst xmlns:a="http://schemas.openxmlformats.org/drawingml/2006/main">
            <a:ext uri="{FF2B5EF4-FFF2-40B4-BE49-F238E27FC236}">
              <a16:creationId xmlns:a16="http://schemas.microsoft.com/office/drawing/2014/main" id="{37FA28E6-8A73-9BF3-E2EB-4B62D1EB0252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7766741" y="1002000"/>
          <a:ext cx="817665" cy="275660"/>
          <a:chOff x="824979" y="1120585"/>
          <a:chExt cx="771030" cy="247212"/>
        </a:xfrm>
      </cdr:grpSpPr>
      <cdr:sp macro="" textlink="">
        <cdr:nvSpPr>
          <cdr:cNvPr id="59408" name="Text Box 16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MobileManager Cost</a:t>
            </a:r>
          </a:p>
        </cdr:txBody>
      </cdr:sp>
      <cdr:sp macro="" textlink="">
        <cdr:nvSpPr>
          <cdr:cNvPr id="59409" name="Line 17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0.73709</cdr:x>
      <cdr:y>0.22173</cdr:y>
    </cdr:from>
    <cdr:to>
      <cdr:x>0.87909</cdr:x>
      <cdr:y>0.32323</cdr:y>
    </cdr:to>
    <cdr:sp macro="" textlink="">
      <cdr:nvSpPr>
        <cdr:cNvPr id="59421" name="AutoShape 29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08673" y="1291331"/>
          <a:ext cx="1215363" cy="591122"/>
        </a:xfrm>
        <a:prstGeom xmlns:a="http://schemas.openxmlformats.org/drawingml/2006/main" prst="rightArrow">
          <a:avLst>
            <a:gd name="adj1" fmla="val 50000"/>
            <a:gd name="adj2" fmla="val 51408"/>
          </a:avLst>
        </a:prstGeom>
        <a:gradFill xmlns:a="http://schemas.openxmlformats.org/drawingml/2006/main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50000">
              <a:srgbClr xmlns:mc="http://schemas.openxmlformats.org/markup-compatibility/2006" xmlns:a14="http://schemas.microsoft.com/office/drawing/2010/main" val="8F8F8F" mc:Ignorable="a14" a14:legacySpreadsheetColorIndex="9">
                <a:gamma/>
                <a:shade val="56078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2700000" scaled="1"/>
        </a:gradFill>
        <a:ln xmlns:a="http://schemas.openxmlformats.org/drawingml/2006/main"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0" bIns="18288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7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6-Month </a:t>
          </a:r>
        </a:p>
        <a:p xmlns:a="http://schemas.openxmlformats.org/drawingml/2006/main">
          <a:pPr algn="l" rtl="0">
            <a:defRPr sz="1000"/>
          </a:pPr>
          <a:r>
            <a:rPr lang="en-US" sz="7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Cumulative Savings</a:t>
          </a:r>
        </a:p>
      </cdr:txBody>
    </cdr: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9424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9425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9426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0.08583</cdr:y>
    </cdr:from>
    <cdr:to>
      <cdr:x>0.23529</cdr:x>
      <cdr:y>0.15733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499835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BLANK">
          <a:extLst xmlns:a="http://schemas.openxmlformats.org/drawingml/2006/main">
            <a:ext uri="{FF2B5EF4-FFF2-40B4-BE49-F238E27FC236}">
              <a16:creationId xmlns:a16="http://schemas.microsoft.com/office/drawing/2014/main" id="{3BD1788A-3EB2-03B9-6A68-5BEAE761228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BLANK">
          <a:extLst xmlns:a="http://schemas.openxmlformats.org/drawingml/2006/main">
            <a:ext uri="{FF2B5EF4-FFF2-40B4-BE49-F238E27FC236}">
              <a16:creationId xmlns:a16="http://schemas.microsoft.com/office/drawing/2014/main" id="{ACD90566-8A83-D610-A93D-1FC32F3F009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BLANK">
          <a:extLst xmlns:a="http://schemas.openxmlformats.org/drawingml/2006/main">
            <a:ext uri="{FF2B5EF4-FFF2-40B4-BE49-F238E27FC236}">
              <a16:creationId xmlns:a16="http://schemas.microsoft.com/office/drawing/2014/main" id="{5B55FD10-9D33-0CF6-A5B5-AFEDD82909A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BLANK">
          <a:extLst xmlns:a="http://schemas.openxmlformats.org/drawingml/2006/main">
            <a:ext uri="{FF2B5EF4-FFF2-40B4-BE49-F238E27FC236}">
              <a16:creationId xmlns:a16="http://schemas.microsoft.com/office/drawing/2014/main" id="{89722E8B-E259-574B-9600-84864377CA0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BLANK">
          <a:extLst xmlns:a="http://schemas.openxmlformats.org/drawingml/2006/main">
            <a:ext uri="{FF2B5EF4-FFF2-40B4-BE49-F238E27FC236}">
              <a16:creationId xmlns:a16="http://schemas.microsoft.com/office/drawing/2014/main" id="{3F34A5CD-A774-4A8A-2B79-71F796AF637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BLANK">
          <a:extLst xmlns:a="http://schemas.openxmlformats.org/drawingml/2006/main">
            <a:ext uri="{FF2B5EF4-FFF2-40B4-BE49-F238E27FC236}">
              <a16:creationId xmlns:a16="http://schemas.microsoft.com/office/drawing/2014/main" id="{8B758286-CDD2-0A48-7CD0-50F9B56AFB5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0.8145</cdr:x>
      <cdr:y>0</cdr:y>
    </cdr:from>
    <cdr:to>
      <cdr:x>0.98875</cdr:x>
      <cdr:y>0.1255</cdr:y>
    </cdr:to>
    <cdr:pic>
      <cdr:nvPicPr>
        <cdr:cNvPr id="58372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270A335E-7D76-684A-5B9D-D1A2526C0632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90059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0.09675</cdr:x>
      <cdr:y>0.15925</cdr:y>
    </cdr:from>
    <cdr:to>
      <cdr:x>0.15525</cdr:x>
      <cdr:y>0.20375</cdr:y>
    </cdr:to>
    <cdr:grpSp>
      <cdr:nvGrpSpPr>
        <cdr:cNvPr id="58380" name="Group 12">
          <a:extLst xmlns:a="http://schemas.openxmlformats.org/drawingml/2006/main">
            <a:ext uri="{FF2B5EF4-FFF2-40B4-BE49-F238E27FC236}">
              <a16:creationId xmlns:a16="http://schemas.microsoft.com/office/drawing/2014/main" id="{E4FE91DB-0FD0-9095-59DE-2DF7F9F99E3D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830541" y="929074"/>
          <a:ext cx="502188" cy="259616"/>
          <a:chOff x="824979" y="1120585"/>
          <a:chExt cx="771030" cy="247212"/>
        </a:xfrm>
      </cdr:grpSpPr>
      <cdr:sp macro="" textlink="">
        <cdr:nvSpPr>
          <cdr:cNvPr id="58381" name="Text Box 13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58382" name="Line 14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0.9195</cdr:x>
      <cdr:y>0.15975</cdr:y>
    </cdr:from>
    <cdr:to>
      <cdr:x>0.992</cdr:x>
      <cdr:y>0.20425</cdr:y>
    </cdr:to>
    <cdr:grpSp>
      <cdr:nvGrpSpPr>
        <cdr:cNvPr id="58383" name="Group 15">
          <a:extLst xmlns:a="http://schemas.openxmlformats.org/drawingml/2006/main">
            <a:ext uri="{FF2B5EF4-FFF2-40B4-BE49-F238E27FC236}">
              <a16:creationId xmlns:a16="http://schemas.microsoft.com/office/drawing/2014/main" id="{9B579499-677D-2967-D693-C48BEB55145C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7893361" y="931991"/>
          <a:ext cx="622370" cy="259616"/>
          <a:chOff x="824979" y="1120585"/>
          <a:chExt cx="771030" cy="247212"/>
        </a:xfrm>
      </cdr:grpSpPr>
      <cdr:sp macro="" textlink="">
        <cdr:nvSpPr>
          <cdr:cNvPr id="58384" name="Text Box 16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Avg Cost Per Minute</a:t>
            </a:r>
          </a:p>
        </cdr:txBody>
      </cdr:sp>
      <cdr:sp macro="" textlink="">
        <cdr:nvSpPr>
          <cdr:cNvPr id="58385" name="Line 17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8388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8389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8390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0.08478</cdr:y>
    </cdr:from>
    <cdr:to>
      <cdr:x>0.19078</cdr:x>
      <cdr:y>0.14113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493772"/>
          <a:ext cx="1632866" cy="328174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7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7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TSM">
          <a:extLst xmlns:a="http://schemas.openxmlformats.org/drawingml/2006/main">
            <a:ext uri="{FF2B5EF4-FFF2-40B4-BE49-F238E27FC236}">
              <a16:creationId xmlns:a16="http://schemas.microsoft.com/office/drawing/2014/main" id="{019B0DB4-9A10-78A3-24D4-E9C6E65B3E5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TSM">
          <a:extLst xmlns:a="http://schemas.openxmlformats.org/drawingml/2006/main">
            <a:ext uri="{FF2B5EF4-FFF2-40B4-BE49-F238E27FC236}">
              <a16:creationId xmlns:a16="http://schemas.microsoft.com/office/drawing/2014/main" id="{8628E180-A4AA-5587-32BF-2664641EF68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TSM">
          <a:extLst xmlns:a="http://schemas.openxmlformats.org/drawingml/2006/main">
            <a:ext uri="{FF2B5EF4-FFF2-40B4-BE49-F238E27FC236}">
              <a16:creationId xmlns:a16="http://schemas.microsoft.com/office/drawing/2014/main" id="{DE42A1EC-6FB6-73FD-1E7D-285AD6CA58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TSM">
          <a:extLst xmlns:a="http://schemas.openxmlformats.org/drawingml/2006/main">
            <a:ext uri="{FF2B5EF4-FFF2-40B4-BE49-F238E27FC236}">
              <a16:creationId xmlns:a16="http://schemas.microsoft.com/office/drawing/2014/main" id="{3F9754B7-9540-7059-A58B-75F67BF2181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TSM">
          <a:extLst xmlns:a="http://schemas.openxmlformats.org/drawingml/2006/main">
            <a:ext uri="{FF2B5EF4-FFF2-40B4-BE49-F238E27FC236}">
              <a16:creationId xmlns:a16="http://schemas.microsoft.com/office/drawing/2014/main" id="{5A83B228-BDD6-8CA7-D28D-6AE9D550979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TSM">
          <a:extLst xmlns:a="http://schemas.openxmlformats.org/drawingml/2006/main">
            <a:ext uri="{FF2B5EF4-FFF2-40B4-BE49-F238E27FC236}">
              <a16:creationId xmlns:a16="http://schemas.microsoft.com/office/drawing/2014/main" id="{78E8AC01-DD86-3AF3-B521-B042BD1F7CC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0.81375</cdr:x>
      <cdr:y>0</cdr:y>
    </cdr:from>
    <cdr:to>
      <cdr:x>0.988</cdr:x>
      <cdr:y>0.1255</cdr:y>
    </cdr:to>
    <cdr:pic>
      <cdr:nvPicPr>
        <cdr:cNvPr id="57348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FF08BECD-31F2-C1C4-5421-0C4E48D9B43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83623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0.13175</cdr:x>
      <cdr:y>0.16175</cdr:y>
    </cdr:from>
    <cdr:to>
      <cdr:x>0.2035</cdr:x>
      <cdr:y>0.209</cdr:y>
    </cdr:to>
    <cdr:grpSp>
      <cdr:nvGrpSpPr>
        <cdr:cNvPr id="57351" name="Group 7">
          <a:extLst xmlns:a="http://schemas.openxmlformats.org/drawingml/2006/main">
            <a:ext uri="{FF2B5EF4-FFF2-40B4-BE49-F238E27FC236}">
              <a16:creationId xmlns:a16="http://schemas.microsoft.com/office/drawing/2014/main" id="{884CA5D8-1B54-3C50-1CA5-6BA03D8BBE78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1130995" y="943660"/>
          <a:ext cx="615932" cy="275659"/>
          <a:chOff x="824979" y="1120585"/>
          <a:chExt cx="771030" cy="247212"/>
        </a:xfrm>
      </cdr:grpSpPr>
      <cdr:sp macro="" textlink="">
        <cdr:nvSpPr>
          <cdr:cNvPr id="57352" name="Text Box 8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Cumulative Savings</a:t>
            </a:r>
          </a:p>
        </cdr:txBody>
      </cdr:sp>
      <cdr:sp macro="" textlink="">
        <cdr:nvSpPr>
          <cdr:cNvPr id="57353" name="Line 9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7359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7360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7361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0.08816</cdr:y>
    </cdr:from>
    <cdr:to>
      <cdr:x>0.23529</cdr:x>
      <cdr:y>0.15967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513443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MSC">
          <a:extLst xmlns:a="http://schemas.openxmlformats.org/drawingml/2006/main">
            <a:ext uri="{FF2B5EF4-FFF2-40B4-BE49-F238E27FC236}">
              <a16:creationId xmlns:a16="http://schemas.microsoft.com/office/drawing/2014/main" id="{3CB873B1-188F-B003-F48C-93B6D42D1A3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MSC">
          <a:extLst xmlns:a="http://schemas.openxmlformats.org/drawingml/2006/main">
            <a:ext uri="{FF2B5EF4-FFF2-40B4-BE49-F238E27FC236}">
              <a16:creationId xmlns:a16="http://schemas.microsoft.com/office/drawing/2014/main" id="{6D5538B3-F181-57E6-95C1-D88FF0A7C57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MSC">
          <a:extLst xmlns:a="http://schemas.openxmlformats.org/drawingml/2006/main">
            <a:ext uri="{FF2B5EF4-FFF2-40B4-BE49-F238E27FC236}">
              <a16:creationId xmlns:a16="http://schemas.microsoft.com/office/drawing/2014/main" id="{3B0EF7C4-E7D8-5995-38D1-52E5E08BB8A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MSC">
          <a:extLst xmlns:a="http://schemas.openxmlformats.org/drawingml/2006/main">
            <a:ext uri="{FF2B5EF4-FFF2-40B4-BE49-F238E27FC236}">
              <a16:creationId xmlns:a16="http://schemas.microsoft.com/office/drawing/2014/main" id="{D7C0E4DE-D255-4C9E-5491-ED0FA31CDB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MSC">
          <a:extLst xmlns:a="http://schemas.openxmlformats.org/drawingml/2006/main">
            <a:ext uri="{FF2B5EF4-FFF2-40B4-BE49-F238E27FC236}">
              <a16:creationId xmlns:a16="http://schemas.microsoft.com/office/drawing/2014/main" id="{80FAE72E-91A5-6925-DDB0-62859F3ECE2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MSC">
          <a:extLst xmlns:a="http://schemas.openxmlformats.org/drawingml/2006/main">
            <a:ext uri="{FF2B5EF4-FFF2-40B4-BE49-F238E27FC236}">
              <a16:creationId xmlns:a16="http://schemas.microsoft.com/office/drawing/2014/main" id="{55B4E577-C077-0E3F-FAC1-367B651247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0.8075</cdr:x>
      <cdr:y>0</cdr:y>
    </cdr:from>
    <cdr:to>
      <cdr:x>0.98175</cdr:x>
      <cdr:y>0.1255</cdr:y>
    </cdr:to>
    <cdr:pic>
      <cdr:nvPicPr>
        <cdr:cNvPr id="53252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35979129-51D3-88E1-F437-DD1254D70AB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29985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0.126</cdr:x>
      <cdr:y>0.1715</cdr:y>
    </cdr:from>
    <cdr:to>
      <cdr:x>0.196</cdr:x>
      <cdr:y>0.2155</cdr:y>
    </cdr:to>
    <cdr:grpSp>
      <cdr:nvGrpSpPr>
        <cdr:cNvPr id="53263" name="Group 15">
          <a:extLst xmlns:a="http://schemas.openxmlformats.org/drawingml/2006/main">
            <a:ext uri="{FF2B5EF4-FFF2-40B4-BE49-F238E27FC236}">
              <a16:creationId xmlns:a16="http://schemas.microsoft.com/office/drawing/2014/main" id="{8E8015B0-3AB1-5B86-2638-FDD485249219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1081635" y="1000542"/>
          <a:ext cx="600909" cy="256698"/>
          <a:chOff x="824979" y="1120585"/>
          <a:chExt cx="771030" cy="247212"/>
        </a:xfrm>
      </cdr:grpSpPr>
      <cdr:sp macro="" textlink="">
        <cdr:nvSpPr>
          <cdr:cNvPr id="53264" name="Text Box 16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Minutes</a:t>
            </a:r>
          </a:p>
        </cdr:txBody>
      </cdr:sp>
      <cdr:sp macro="" textlink="">
        <cdr:nvSpPr>
          <cdr:cNvPr id="53265" name="Line 17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0.88525</cdr:x>
      <cdr:y>0.171</cdr:y>
    </cdr:from>
    <cdr:to>
      <cdr:x>0.94775</cdr:x>
      <cdr:y>0.2155</cdr:y>
    </cdr:to>
    <cdr:grpSp>
      <cdr:nvGrpSpPr>
        <cdr:cNvPr id="53269" name="Group 21">
          <a:extLst xmlns:a="http://schemas.openxmlformats.org/drawingml/2006/main">
            <a:ext uri="{FF2B5EF4-FFF2-40B4-BE49-F238E27FC236}">
              <a16:creationId xmlns:a16="http://schemas.microsoft.com/office/drawing/2014/main" id="{4F1051ED-6C38-B5BC-6C73-26B361CFA7D6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7599345" y="997625"/>
          <a:ext cx="536526" cy="259615"/>
          <a:chOff x="1028552" y="894800"/>
          <a:chExt cx="506792" cy="248150"/>
        </a:xfrm>
      </cdr:grpSpPr>
      <cdr:sp macro="" textlink="">
        <cdr:nvSpPr>
          <cdr:cNvPr id="53270" name="Text Box 22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1028552" y="894800"/>
            <a:ext cx="506792" cy="24815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xmlns:mc="http://schemas.openxmlformats.org/markup-compatibility/2006" xmlns:a14="http://schemas.microsoft.com/office/drawing/2010/main" val="FFFFFF" mc:Ignorable="a14" a14:legacySpreadsheetColorIndex="65"/>
          </a:soli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Avg Cost Per Phone Minutes</a:t>
            </a:r>
          </a:p>
        </cdr:txBody>
      </cdr:sp>
      <cdr:sp macro="" textlink="">
        <cdr:nvSpPr>
          <cdr:cNvPr id="53271" name="Line 23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1028552" y="1142950"/>
            <a:ext cx="506792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3274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3275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3276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0.08583</cdr:y>
    </cdr:from>
    <cdr:to>
      <cdr:x>0.23529</cdr:x>
      <cdr:y>0.15733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499835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MMACP">
          <a:extLst xmlns:a="http://schemas.openxmlformats.org/drawingml/2006/main">
            <a:ext uri="{FF2B5EF4-FFF2-40B4-BE49-F238E27FC236}">
              <a16:creationId xmlns:a16="http://schemas.microsoft.com/office/drawing/2014/main" id="{6B3CCC2C-8DE6-7B98-2F12-76C54A24A9F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MMACP">
          <a:extLst xmlns:a="http://schemas.openxmlformats.org/drawingml/2006/main">
            <a:ext uri="{FF2B5EF4-FFF2-40B4-BE49-F238E27FC236}">
              <a16:creationId xmlns:a16="http://schemas.microsoft.com/office/drawing/2014/main" id="{91A25367-B844-6F00-DC3D-3855BB39A42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MMACP">
          <a:extLst xmlns:a="http://schemas.openxmlformats.org/drawingml/2006/main">
            <a:ext uri="{FF2B5EF4-FFF2-40B4-BE49-F238E27FC236}">
              <a16:creationId xmlns:a16="http://schemas.microsoft.com/office/drawing/2014/main" id="{A1CC2E26-5993-66D6-EDF3-A9313FE3EC7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MMACP">
          <a:extLst xmlns:a="http://schemas.openxmlformats.org/drawingml/2006/main">
            <a:ext uri="{FF2B5EF4-FFF2-40B4-BE49-F238E27FC236}">
              <a16:creationId xmlns:a16="http://schemas.microsoft.com/office/drawing/2014/main" id="{2FD7A5C6-68B9-288B-F131-BA08BDFD58F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MMACP">
          <a:extLst xmlns:a="http://schemas.openxmlformats.org/drawingml/2006/main">
            <a:ext uri="{FF2B5EF4-FFF2-40B4-BE49-F238E27FC236}">
              <a16:creationId xmlns:a16="http://schemas.microsoft.com/office/drawing/2014/main" id="{F3E0BBF7-1667-6CFC-746B-3EFDB436310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MMACP">
          <a:extLst xmlns:a="http://schemas.openxmlformats.org/drawingml/2006/main">
            <a:ext uri="{FF2B5EF4-FFF2-40B4-BE49-F238E27FC236}">
              <a16:creationId xmlns:a16="http://schemas.microsoft.com/office/drawing/2014/main" id="{38700957-FC85-5FFD-025B-B58BFE2AF67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0.8145</cdr:x>
      <cdr:y>0</cdr:y>
    </cdr:from>
    <cdr:to>
      <cdr:x>0.98875</cdr:x>
      <cdr:y>0.1255</cdr:y>
    </cdr:to>
    <cdr:pic>
      <cdr:nvPicPr>
        <cdr:cNvPr id="56326" name="Picture 6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B2DF369F-3910-8509-81F9-0BE6CDD944F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90059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0.09221</cdr:x>
      <cdr:y>0.18458</cdr:y>
    </cdr:from>
    <cdr:to>
      <cdr:x>0.18442</cdr:x>
      <cdr:y>0.24292</cdr:y>
    </cdr:to>
    <cdr:grpSp>
      <cdr:nvGrpSpPr>
        <cdr:cNvPr id="56334" name="Group 14">
          <a:extLst xmlns:a="http://schemas.openxmlformats.org/drawingml/2006/main">
            <a:ext uri="{FF2B5EF4-FFF2-40B4-BE49-F238E27FC236}">
              <a16:creationId xmlns:a16="http://schemas.microsoft.com/office/drawing/2014/main" id="{AF01AA73-A424-1914-F34D-2421D7D5A97C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791568" y="1076851"/>
          <a:ext cx="791568" cy="340359"/>
          <a:chOff x="693646" y="1038623"/>
          <a:chExt cx="1049397" cy="325921"/>
        </a:xfrm>
      </cdr:grpSpPr>
      <cdr:sp macro="" textlink="">
        <cdr:nvSpPr>
          <cdr:cNvPr id="56335" name="Text Box 15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693646" y="1038623"/>
            <a:ext cx="1049397" cy="26106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8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56336" name="Line 16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0.91029</cdr:x>
      <cdr:y>0.20561</cdr:y>
    </cdr:from>
    <cdr:to>
      <cdr:x>1</cdr:x>
      <cdr:y>0.25234</cdr:y>
    </cdr:to>
    <cdr:sp macro="" textlink="">
      <cdr:nvSpPr>
        <cdr:cNvPr id="56338" name="Text Box 18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791076" y="1197428"/>
          <a:ext cx="767817" cy="272143"/>
        </a:xfrm>
        <a:prstGeom xmlns:a="http://schemas.openxmlformats.org/drawingml/2006/main" prst="rect">
          <a:avLst/>
        </a:prstGeom>
        <a:gradFill xmlns:a="http://schemas.openxmlformats.org/drawingml/2006/main" rotWithShape="1">
          <a:gsLst>
            <a:gs pos="0">
              <a:srgbClr val="FFFFCC"/>
            </a:gs>
            <a:gs pos="100000">
              <a:srgbClr val="FFFFCC">
                <a:gamma/>
                <a:tint val="13725"/>
                <a:invGamma/>
              </a:srgbClr>
            </a:gs>
          </a:gsLst>
          <a:lin ang="5400000" scaled="1"/>
        </a:gradFill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algn="ctr">
              <a:solidFill>
                <a:srgbClr xmlns:mc="http://schemas.openxmlformats.org/markup-compatibility/2006" val="FFFFFF" mc:Ignorable="a14" a14:legacySpreadsheetColorIndex="9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18288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Avg Cost Per Minute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</cdr:x>
      <cdr:y>0</cdr:y>
    </cdr:to>
    <cdr:sp macro="" textlink="">
      <cdr:nvSpPr>
        <cdr:cNvPr id="56339" name="Line 1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0" y="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6341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6342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6343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0.08816</cdr:y>
    </cdr:from>
    <cdr:to>
      <cdr:x>0.23529</cdr:x>
      <cdr:y>0.15967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513443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UCPM">
          <a:extLst xmlns:a="http://schemas.openxmlformats.org/drawingml/2006/main">
            <a:ext uri="{FF2B5EF4-FFF2-40B4-BE49-F238E27FC236}">
              <a16:creationId xmlns:a16="http://schemas.microsoft.com/office/drawing/2014/main" id="{ECE0A341-EAF5-D019-75F8-15D6587EE64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UCPM">
          <a:extLst xmlns:a="http://schemas.openxmlformats.org/drawingml/2006/main">
            <a:ext uri="{FF2B5EF4-FFF2-40B4-BE49-F238E27FC236}">
              <a16:creationId xmlns:a16="http://schemas.microsoft.com/office/drawing/2014/main" id="{73D60EDD-693B-03A4-D646-795E4BD6450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UCPM">
          <a:extLst xmlns:a="http://schemas.openxmlformats.org/drawingml/2006/main">
            <a:ext uri="{FF2B5EF4-FFF2-40B4-BE49-F238E27FC236}">
              <a16:creationId xmlns:a16="http://schemas.microsoft.com/office/drawing/2014/main" id="{DE54DD66-542D-859B-20CB-7AB69A31367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UCPM">
          <a:extLst xmlns:a="http://schemas.openxmlformats.org/drawingml/2006/main">
            <a:ext uri="{FF2B5EF4-FFF2-40B4-BE49-F238E27FC236}">
              <a16:creationId xmlns:a16="http://schemas.microsoft.com/office/drawing/2014/main" id="{3365E9FD-8380-ABCF-3FC6-6A5A4AC060C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UCPM">
          <a:extLst xmlns:a="http://schemas.openxmlformats.org/drawingml/2006/main">
            <a:ext uri="{FF2B5EF4-FFF2-40B4-BE49-F238E27FC236}">
              <a16:creationId xmlns:a16="http://schemas.microsoft.com/office/drawing/2014/main" id="{30D47D32-D864-2E52-DF9F-1F9EB0B29D2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UCPM">
          <a:extLst xmlns:a="http://schemas.openxmlformats.org/drawingml/2006/main">
            <a:ext uri="{FF2B5EF4-FFF2-40B4-BE49-F238E27FC236}">
              <a16:creationId xmlns:a16="http://schemas.microsoft.com/office/drawing/2014/main" id="{C5FBB33A-BA3D-0262-2BF2-57D1346C6D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0.8155</cdr:x>
      <cdr:y>0</cdr:y>
    </cdr:from>
    <cdr:to>
      <cdr:x>0.98975</cdr:x>
      <cdr:y>0.1255</cdr:y>
    </cdr:to>
    <cdr:pic>
      <cdr:nvPicPr>
        <cdr:cNvPr id="54276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0C892B0D-2484-721F-2E11-7211DA895F3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98641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4289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4290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4291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0.08115</cdr:y>
    </cdr:from>
    <cdr:to>
      <cdr:x>0.23529</cdr:x>
      <cdr:y>0.15266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472621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UO">
          <a:extLst xmlns:a="http://schemas.openxmlformats.org/drawingml/2006/main">
            <a:ext uri="{FF2B5EF4-FFF2-40B4-BE49-F238E27FC236}">
              <a16:creationId xmlns:a16="http://schemas.microsoft.com/office/drawing/2014/main" id="{0FD7161D-B110-AD8C-A388-F940B0682D2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UO">
          <a:extLst xmlns:a="http://schemas.openxmlformats.org/drawingml/2006/main">
            <a:ext uri="{FF2B5EF4-FFF2-40B4-BE49-F238E27FC236}">
              <a16:creationId xmlns:a16="http://schemas.microsoft.com/office/drawing/2014/main" id="{DC2BE53F-841A-9D66-13A8-01A19B69C89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UO">
          <a:extLst xmlns:a="http://schemas.openxmlformats.org/drawingml/2006/main">
            <a:ext uri="{FF2B5EF4-FFF2-40B4-BE49-F238E27FC236}">
              <a16:creationId xmlns:a16="http://schemas.microsoft.com/office/drawing/2014/main" id="{D460831B-F7E2-1E47-2535-5B1EC4300DF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UO">
          <a:extLst xmlns:a="http://schemas.openxmlformats.org/drawingml/2006/main">
            <a:ext uri="{FF2B5EF4-FFF2-40B4-BE49-F238E27FC236}">
              <a16:creationId xmlns:a16="http://schemas.microsoft.com/office/drawing/2014/main" id="{3F131886-960C-D123-F8B0-65A5C49EFAE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UO">
          <a:extLst xmlns:a="http://schemas.openxmlformats.org/drawingml/2006/main">
            <a:ext uri="{FF2B5EF4-FFF2-40B4-BE49-F238E27FC236}">
              <a16:creationId xmlns:a16="http://schemas.microsoft.com/office/drawing/2014/main" id="{50987DDB-EE51-B886-4766-0911959E1D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UO">
          <a:extLst xmlns:a="http://schemas.openxmlformats.org/drawingml/2006/main">
            <a:ext uri="{FF2B5EF4-FFF2-40B4-BE49-F238E27FC236}">
              <a16:creationId xmlns:a16="http://schemas.microsoft.com/office/drawing/2014/main" id="{DE97F784-0F33-900F-F8A6-CACD4E4777B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0.80875</cdr:x>
      <cdr:y>0</cdr:y>
    </cdr:from>
    <cdr:to>
      <cdr:x>0.983</cdr:x>
      <cdr:y>0.1255</cdr:y>
    </cdr:to>
    <cdr:pic>
      <cdr:nvPicPr>
        <cdr:cNvPr id="52228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145C32D6-5502-B596-255E-A64B1FF96E2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40713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0.8935</cdr:x>
      <cdr:y>0.13075</cdr:y>
    </cdr:from>
    <cdr:to>
      <cdr:x>0.96325</cdr:x>
      <cdr:y>0.17325</cdr:y>
    </cdr:to>
    <cdr:grpSp>
      <cdr:nvGrpSpPr>
        <cdr:cNvPr id="52234" name="Group 10">
          <a:extLst xmlns:a="http://schemas.openxmlformats.org/drawingml/2006/main">
            <a:ext uri="{FF2B5EF4-FFF2-40B4-BE49-F238E27FC236}">
              <a16:creationId xmlns:a16="http://schemas.microsoft.com/office/drawing/2014/main" id="{C0359712-98C3-0E9F-2E38-1436B002A121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7670167" y="762804"/>
          <a:ext cx="598762" cy="247947"/>
          <a:chOff x="8112671" y="1120585"/>
          <a:chExt cx="824979" cy="247212"/>
        </a:xfrm>
      </cdr:grpSpPr>
      <cdr:sp macro="" textlink="">
        <cdr:nvSpPr>
          <cdr:cNvPr id="52235" name="Text Box 11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112671" y="1120585"/>
            <a:ext cx="824979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50196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Cost Per Minute</a:t>
            </a:r>
          </a:p>
        </cdr:txBody>
      </cdr:sp>
      <cdr:sp macro="" textlink="">
        <cdr:nvSpPr>
          <cdr:cNvPr id="52236" name="Line 12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112671" y="1364544"/>
            <a:ext cx="824979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0.12625</cdr:x>
      <cdr:y>0.12975</cdr:y>
    </cdr:from>
    <cdr:to>
      <cdr:x>0.1965</cdr:x>
      <cdr:y>0.17325</cdr:y>
    </cdr:to>
    <cdr:grpSp>
      <cdr:nvGrpSpPr>
        <cdr:cNvPr id="52237" name="Group 13">
          <a:extLst xmlns:a="http://schemas.openxmlformats.org/drawingml/2006/main">
            <a:ext uri="{FF2B5EF4-FFF2-40B4-BE49-F238E27FC236}">
              <a16:creationId xmlns:a16="http://schemas.microsoft.com/office/drawing/2014/main" id="{851B25B9-890E-1349-EBAA-D38B983F50C0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1083781" y="756970"/>
          <a:ext cx="603055" cy="253781"/>
          <a:chOff x="824979" y="1120585"/>
          <a:chExt cx="771030" cy="247212"/>
        </a:xfrm>
      </cdr:grpSpPr>
      <cdr:sp macro="" textlink="">
        <cdr:nvSpPr>
          <cdr:cNvPr id="52238" name="Text Box 14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52239" name="Line 15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52241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52242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52243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0.08115</cdr:y>
    </cdr:from>
    <cdr:to>
      <cdr:x>0.23529</cdr:x>
      <cdr:y>0.15266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472620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MMC">
          <a:extLst xmlns:a="http://schemas.openxmlformats.org/drawingml/2006/main">
            <a:ext uri="{FF2B5EF4-FFF2-40B4-BE49-F238E27FC236}">
              <a16:creationId xmlns:a16="http://schemas.microsoft.com/office/drawing/2014/main" id="{0016184B-AB50-21EA-AB70-D700436419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MMC">
          <a:extLst xmlns:a="http://schemas.openxmlformats.org/drawingml/2006/main">
            <a:ext uri="{FF2B5EF4-FFF2-40B4-BE49-F238E27FC236}">
              <a16:creationId xmlns:a16="http://schemas.microsoft.com/office/drawing/2014/main" id="{BDE4207C-F9C0-5E19-DC5A-B726F671E7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MMC">
          <a:extLst xmlns:a="http://schemas.openxmlformats.org/drawingml/2006/main">
            <a:ext uri="{FF2B5EF4-FFF2-40B4-BE49-F238E27FC236}">
              <a16:creationId xmlns:a16="http://schemas.microsoft.com/office/drawing/2014/main" id="{5084958E-569D-FD05-066B-46B15B8C13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MMC">
          <a:extLst xmlns:a="http://schemas.openxmlformats.org/drawingml/2006/main">
            <a:ext uri="{FF2B5EF4-FFF2-40B4-BE49-F238E27FC236}">
              <a16:creationId xmlns:a16="http://schemas.microsoft.com/office/drawing/2014/main" id="{F4B74F9E-FD91-8E3D-E383-BCA6994F509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MMC">
          <a:extLst xmlns:a="http://schemas.openxmlformats.org/drawingml/2006/main">
            <a:ext uri="{FF2B5EF4-FFF2-40B4-BE49-F238E27FC236}">
              <a16:creationId xmlns:a16="http://schemas.microsoft.com/office/drawing/2014/main" id="{23A72F0C-6C90-D544-68CC-4577461AFB7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MMC">
          <a:extLst xmlns:a="http://schemas.openxmlformats.org/drawingml/2006/main">
            <a:ext uri="{FF2B5EF4-FFF2-40B4-BE49-F238E27FC236}">
              <a16:creationId xmlns:a16="http://schemas.microsoft.com/office/drawing/2014/main" id="{0515564A-AE16-ECD3-4AED-065F9B429CC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0.82175</cdr:x>
      <cdr:y>0</cdr:y>
    </cdr:from>
    <cdr:to>
      <cdr:x>0.996</cdr:x>
      <cdr:y>0.1255</cdr:y>
    </cdr:to>
    <cdr:pic>
      <cdr:nvPicPr>
        <cdr:cNvPr id="61444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8A1F3E41-2A00-C66C-396E-13B1D8359AB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052279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0.11175</cdr:x>
      <cdr:y>0.156</cdr:y>
    </cdr:from>
    <cdr:to>
      <cdr:x>0.16925</cdr:x>
      <cdr:y>0.20375</cdr:y>
    </cdr:to>
    <cdr:grpSp>
      <cdr:nvGrpSpPr>
        <cdr:cNvPr id="61460" name="Group 20">
          <a:extLst xmlns:a="http://schemas.openxmlformats.org/drawingml/2006/main">
            <a:ext uri="{FF2B5EF4-FFF2-40B4-BE49-F238E27FC236}">
              <a16:creationId xmlns:a16="http://schemas.microsoft.com/office/drawing/2014/main" id="{DB7E51D4-6E6C-86F5-9EBA-7ADB59CDDB93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959307" y="910114"/>
          <a:ext cx="493604" cy="278576"/>
          <a:chOff x="824979" y="1120585"/>
          <a:chExt cx="771030" cy="247212"/>
        </a:xfrm>
      </cdr:grpSpPr>
      <cdr:sp macro="" textlink="">
        <cdr:nvSpPr>
          <cdr:cNvPr id="61461" name="Text Box 21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Spend</a:t>
            </a:r>
          </a:p>
        </cdr:txBody>
      </cdr:sp>
      <cdr:sp macro="" textlink="">
        <cdr:nvSpPr>
          <cdr:cNvPr id="61462" name="Line 22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0.91575</cdr:x>
      <cdr:y>0.156</cdr:y>
    </cdr:from>
    <cdr:to>
      <cdr:x>0.97475</cdr:x>
      <cdr:y>0.207</cdr:y>
    </cdr:to>
    <cdr:grpSp>
      <cdr:nvGrpSpPr>
        <cdr:cNvPr id="61463" name="Group 23">
          <a:extLst xmlns:a="http://schemas.openxmlformats.org/drawingml/2006/main">
            <a:ext uri="{FF2B5EF4-FFF2-40B4-BE49-F238E27FC236}">
              <a16:creationId xmlns:a16="http://schemas.microsoft.com/office/drawing/2014/main" id="{DFE2A098-D2C6-560D-1418-B31CCC237FBD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7861170" y="910114"/>
          <a:ext cx="506480" cy="297537"/>
          <a:chOff x="824979" y="1120585"/>
          <a:chExt cx="771030" cy="247212"/>
        </a:xfrm>
      </cdr:grpSpPr>
      <cdr:sp macro="" textlink="">
        <cdr:nvSpPr>
          <cdr:cNvPr id="61464" name="Text Box 24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Minutes</a:t>
            </a:r>
          </a:p>
        </cdr:txBody>
      </cdr:sp>
      <cdr:sp macro="" textlink="">
        <cdr:nvSpPr>
          <cdr:cNvPr id="61465" name="Line 25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61467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61468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61469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0.08583</cdr:y>
    </cdr:from>
    <cdr:to>
      <cdr:x>0.23529</cdr:x>
      <cdr:y>0.15734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499836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5" name="btn_HomeSMU">
          <a:extLst xmlns:a="http://schemas.openxmlformats.org/drawingml/2006/main">
            <a:ext uri="{FF2B5EF4-FFF2-40B4-BE49-F238E27FC236}">
              <a16:creationId xmlns:a16="http://schemas.microsoft.com/office/drawing/2014/main" id="{9F039BCD-8F73-8EA0-A264-1D28422957D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6" name="btn_NextSMU">
          <a:extLst xmlns:a="http://schemas.openxmlformats.org/drawingml/2006/main">
            <a:ext uri="{FF2B5EF4-FFF2-40B4-BE49-F238E27FC236}">
              <a16:creationId xmlns:a16="http://schemas.microsoft.com/office/drawing/2014/main" id="{DC8A7817-9C19-35F5-92CE-EC946CC53C3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7" name="btn_PreviousSMU">
          <a:extLst xmlns:a="http://schemas.openxmlformats.org/drawingml/2006/main">
            <a:ext uri="{FF2B5EF4-FFF2-40B4-BE49-F238E27FC236}">
              <a16:creationId xmlns:a16="http://schemas.microsoft.com/office/drawing/2014/main" id="{9B225670-C6A3-1351-6BC3-518DDE36F5D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8" name="btn_Zoom_InSMU">
          <a:extLst xmlns:a="http://schemas.openxmlformats.org/drawingml/2006/main">
            <a:ext uri="{FF2B5EF4-FFF2-40B4-BE49-F238E27FC236}">
              <a16:creationId xmlns:a16="http://schemas.microsoft.com/office/drawing/2014/main" id="{00D7E996-DC59-CD79-92DA-765A9DC0111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19" name="btn_Zoom_OutSMU">
          <a:extLst xmlns:a="http://schemas.openxmlformats.org/drawingml/2006/main">
            <a:ext uri="{FF2B5EF4-FFF2-40B4-BE49-F238E27FC236}">
              <a16:creationId xmlns:a16="http://schemas.microsoft.com/office/drawing/2014/main" id="{73A2F8A2-12D7-5E53-C254-3803E63616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0" name="btn_PrintSMU">
          <a:extLst xmlns:a="http://schemas.openxmlformats.org/drawingml/2006/main">
            <a:ext uri="{FF2B5EF4-FFF2-40B4-BE49-F238E27FC236}">
              <a16:creationId xmlns:a16="http://schemas.microsoft.com/office/drawing/2014/main" id="{1CCAC563-E5A8-DD7C-281B-CFE16317F4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0.79675</cdr:x>
      <cdr:y>0</cdr:y>
    </cdr:from>
    <cdr:to>
      <cdr:x>0.971</cdr:x>
      <cdr:y>0.1255</cdr:y>
    </cdr:to>
    <cdr:pic>
      <cdr:nvPicPr>
        <cdr:cNvPr id="60420" name="Picture 4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BD85EF2D-26D7-F335-3742-51402508D3F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837728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0.08898</cdr:x>
      <cdr:y>0.16791</cdr:y>
    </cdr:from>
    <cdr:to>
      <cdr:x>0.16375</cdr:x>
      <cdr:y>0.2243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5481F1D6-099E-1AD5-D849-DD4A3FEA8F61}"/>
            </a:ext>
          </a:extLst>
        </cdr:cNvPr>
        <cdr:cNvGrpSpPr/>
      </cdr:nvGrpSpPr>
      <cdr:grpSpPr>
        <a:xfrm xmlns:a="http://schemas.openxmlformats.org/drawingml/2006/main">
          <a:off x="763840" y="979597"/>
          <a:ext cx="641856" cy="328983"/>
          <a:chOff x="761575" y="977907"/>
          <a:chExt cx="639961" cy="328382"/>
        </a:xfrm>
      </cdr:grpSpPr>
      <cdr:sp macro="" textlink="">
        <cdr:nvSpPr>
          <cdr:cNvPr id="60429" name="Text Box 13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761575" y="977907"/>
            <a:ext cx="639961" cy="32838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</a:t>
            </a: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 Spend</a:t>
            </a:r>
          </a:p>
        </cdr:txBody>
      </cdr:sp>
      <cdr:sp macro="" textlink="">
        <cdr:nvSpPr>
          <cdr:cNvPr id="60430" name="Line 14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02396" y="1248702"/>
            <a:ext cx="502835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0.90975</cdr:x>
      <cdr:y>0.16825</cdr:y>
    </cdr:from>
    <cdr:to>
      <cdr:x>0.968</cdr:x>
      <cdr:y>0.214</cdr:y>
    </cdr:to>
    <cdr:grpSp>
      <cdr:nvGrpSpPr>
        <cdr:cNvPr id="60435" name="Group 19">
          <a:extLst xmlns:a="http://schemas.openxmlformats.org/drawingml/2006/main">
            <a:ext uri="{FF2B5EF4-FFF2-40B4-BE49-F238E27FC236}">
              <a16:creationId xmlns:a16="http://schemas.microsoft.com/office/drawing/2014/main" id="{3BD47F1B-C7C3-D29A-BEBF-F7021E393D05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7809663" y="981581"/>
          <a:ext cx="500042" cy="266908"/>
          <a:chOff x="824979" y="1120585"/>
          <a:chExt cx="771030" cy="247212"/>
        </a:xfrm>
      </cdr:grpSpPr>
      <cdr:sp macro="" textlink="">
        <cdr:nvSpPr>
          <cdr:cNvPr id="60436" name="Text Box 20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824979" y="1120585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7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Monthly Minutes</a:t>
            </a:r>
          </a:p>
        </cdr:txBody>
      </cdr:sp>
      <cdr:sp macro="" textlink="">
        <cdr:nvSpPr>
          <cdr:cNvPr id="60437" name="Line 21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60439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60440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60441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0.08816</cdr:y>
    </cdr:from>
    <cdr:to>
      <cdr:x>0.23529</cdr:x>
      <cdr:y>0.15967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513443"/>
          <a:ext cx="2013857" cy="41646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9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6" name="btn_HomeNSMU">
          <a:extLst xmlns:a="http://schemas.openxmlformats.org/drawingml/2006/main">
            <a:ext uri="{FF2B5EF4-FFF2-40B4-BE49-F238E27FC236}">
              <a16:creationId xmlns:a16="http://schemas.microsoft.com/office/drawing/2014/main" id="{B05308A0-2A2E-0FA4-E5BA-E7CB93EF1F9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7" name="btn_NextNSMU">
          <a:extLst xmlns:a="http://schemas.openxmlformats.org/drawingml/2006/main">
            <a:ext uri="{FF2B5EF4-FFF2-40B4-BE49-F238E27FC236}">
              <a16:creationId xmlns:a16="http://schemas.microsoft.com/office/drawing/2014/main" id="{14E5AFD4-556E-060F-E26B-55DECA6A1C7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8" name="btn_PreviousNSMU">
          <a:extLst xmlns:a="http://schemas.openxmlformats.org/drawingml/2006/main">
            <a:ext uri="{FF2B5EF4-FFF2-40B4-BE49-F238E27FC236}">
              <a16:creationId xmlns:a16="http://schemas.microsoft.com/office/drawing/2014/main" id="{6CEB2681-7430-741B-0B58-B01C1346925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9" name="btn_Zoom_InNSMU">
          <a:extLst xmlns:a="http://schemas.openxmlformats.org/drawingml/2006/main">
            <a:ext uri="{FF2B5EF4-FFF2-40B4-BE49-F238E27FC236}">
              <a16:creationId xmlns:a16="http://schemas.microsoft.com/office/drawing/2014/main" id="{D4E0405F-15DC-50FB-8422-C1EA6A634E0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20" name="btn_Zoom_OutNSMU">
          <a:extLst xmlns:a="http://schemas.openxmlformats.org/drawingml/2006/main">
            <a:ext uri="{FF2B5EF4-FFF2-40B4-BE49-F238E27FC236}">
              <a16:creationId xmlns:a16="http://schemas.microsoft.com/office/drawing/2014/main" id="{83D6244B-99E8-D0E5-1B3E-610333D76C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1" name="btn_PrintNSMU">
          <a:extLst xmlns:a="http://schemas.openxmlformats.org/drawingml/2006/main">
            <a:ext uri="{FF2B5EF4-FFF2-40B4-BE49-F238E27FC236}">
              <a16:creationId xmlns:a16="http://schemas.microsoft.com/office/drawing/2014/main" id="{FE43EE1D-E59D-E3BE-C024-312E0D480C5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8584406" cy="5834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0.25714</cdr:x>
      <cdr:y>0.22041</cdr:y>
    </cdr:from>
    <cdr:to>
      <cdr:x>0.76589</cdr:x>
      <cdr:y>0.70266</cdr:y>
    </cdr:to>
    <cdr:graphicFrame macro="">
      <cdr:nvGraphicFramePr>
        <cdr:cNvPr id="64513" name="Chart 1">
          <a:extLst xmlns:a="http://schemas.openxmlformats.org/drawingml/2006/main">
            <a:ext uri="{FF2B5EF4-FFF2-40B4-BE49-F238E27FC236}">
              <a16:creationId xmlns:a16="http://schemas.microsoft.com/office/drawing/2014/main" id="{17ACB03D-18B0-1EE3-257D-1D29BAC59BB1}"/>
            </a:ext>
          </a:extLst>
        </cdr:cNvPr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0.8155</cdr:x>
      <cdr:y>0</cdr:y>
    </cdr:from>
    <cdr:to>
      <cdr:x>0.98975</cdr:x>
      <cdr:y>0.1255</cdr:y>
    </cdr:to>
    <cdr:pic>
      <cdr:nvPicPr>
        <cdr:cNvPr id="64520" name="Picture 8" descr="_Mobile3x8 12-21-03">
          <a:extLst xmlns:a="http://schemas.openxmlformats.org/drawingml/2006/main">
            <a:ext uri="{FF2B5EF4-FFF2-40B4-BE49-F238E27FC236}">
              <a16:creationId xmlns:a16="http://schemas.microsoft.com/office/drawing/2014/main" id="{F9842897-1614-C379-F0A1-19832CB4A6C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606" r="16818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98641" y="0"/>
          <a:ext cx="1495418" cy="73277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0.09057</cdr:x>
      <cdr:y>0.14486</cdr:y>
    </cdr:from>
    <cdr:to>
      <cdr:x>0.1475</cdr:x>
      <cdr:y>0.21084</cdr:y>
    </cdr:to>
    <cdr:grpSp>
      <cdr:nvGrpSpPr>
        <cdr:cNvPr id="64529" name="Group 17">
          <a:extLst xmlns:a="http://schemas.openxmlformats.org/drawingml/2006/main">
            <a:ext uri="{FF2B5EF4-FFF2-40B4-BE49-F238E27FC236}">
              <a16:creationId xmlns:a16="http://schemas.microsoft.com/office/drawing/2014/main" id="{0C61D96D-0A50-9B7F-4CBE-92ADE429F9B5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777490" y="845122"/>
          <a:ext cx="488710" cy="384932"/>
          <a:chOff x="779366" y="1129340"/>
          <a:chExt cx="816643" cy="247212"/>
        </a:xfrm>
      </cdr:grpSpPr>
      <cdr:sp macro="" textlink="">
        <cdr:nvSpPr>
          <cdr:cNvPr id="64530" name="Text Box 18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779366" y="1129340"/>
            <a:ext cx="771030" cy="247212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No. of Users</a:t>
            </a:r>
          </a:p>
        </cdr:txBody>
      </cdr:sp>
      <cdr:sp macro="" textlink="">
        <cdr:nvSpPr>
          <cdr:cNvPr id="64531" name="Line 19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824979" y="1364544"/>
            <a:ext cx="77103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0.04452</cdr:x>
      <cdr:y>0.90199</cdr:y>
    </cdr:from>
    <cdr:to>
      <cdr:x>0.14626</cdr:x>
      <cdr:y>0.9743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ACFB5004-99AF-7EF5-EDCC-106CE6A3AC86}"/>
            </a:ext>
          </a:extLst>
        </cdr:cNvPr>
        <cdr:cNvGrpSpPr/>
      </cdr:nvGrpSpPr>
      <cdr:grpSpPr>
        <a:xfrm xmlns:a="http://schemas.openxmlformats.org/drawingml/2006/main">
          <a:off x="382178" y="5262266"/>
          <a:ext cx="873377" cy="421861"/>
          <a:chOff x="381648" y="5250333"/>
          <a:chExt cx="872166" cy="420905"/>
        </a:xfrm>
      </cdr:grpSpPr>
      <cdr:sp macro="" textlink="">
        <cdr:nvSpPr>
          <cdr:cNvPr id="64535" name="Text Box 23" descr="Slattery-Skanska&#10;Wireless Review&#10;January 2004&#10;Carrier Comparison"/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381648" y="5250333"/>
            <a:ext cx="872166" cy="420905"/>
          </a:xfrm>
          <a:prstGeom xmlns:a="http://schemas.openxmlformats.org/drawingml/2006/main" prst="rect">
            <a:avLst/>
          </a:prstGeom>
          <a:gradFill xmlns:a="http://schemas.openxmlformats.org/drawingml/2006/main" rotWithShape="1">
            <a:gsLst>
              <a:gs pos="0">
                <a:srgbClr val="FFFFCC"/>
              </a:gs>
              <a:gs pos="100000">
                <a:srgbClr val="FFFFCC">
                  <a:gamma/>
                  <a:tint val="13725"/>
                  <a:invGamma/>
                </a:srgbClr>
              </a:gs>
            </a:gsLst>
            <a:lin ang="5400000" scaled="1"/>
          </a:gradFill>
          <a:ln xmlns:a="http://schemas.openxmlformats.org/drawingml/2006/main">
            <a:noFill/>
          </a:ln>
          <a:effectLst xmlns:a="http://schemas.openxmlformats.org/drawingml/2006/main"/>
          <a:extLst xmlns:a="http://schemas.openxmlformats.org/drawingml/2006/main">
            <a:ext uri="{91240B29-F687-4F45-9708-019B960494DF}">
              <a14:hiddenLine xmlns:a14="http://schemas.microsoft.com/office/drawing/2010/main" w="25400" algn="ctr">
                <a:solidFill>
                  <a:srgbClr xmlns:mc="http://schemas.openxmlformats.org/markup-compatibility/2006" val="FFFFFF" mc:Ignorable="a14" a14:legacySpreadsheetColorIndex="9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vertOverflow="clip" wrap="square" lIns="27432" tIns="18288" rIns="27432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Cost per  Minute</a:t>
            </a:r>
          </a:p>
        </cdr:txBody>
      </cdr:sp>
      <cdr:sp macro="" textlink="">
        <cdr:nvSpPr>
          <cdr:cNvPr id="64536" name="Line 24"/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449789" y="5556811"/>
            <a:ext cx="644710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</cdr:sp>
    </cdr:grpSp>
  </cdr:relSizeAnchor>
  <cdr:relSizeAnchor xmlns:cdr="http://schemas.openxmlformats.org/drawingml/2006/chartDrawing">
    <cdr:from>
      <cdr:x>0.6556</cdr:x>
      <cdr:y>0.2147</cdr:y>
    </cdr:from>
    <cdr:to>
      <cdr:x>0.95185</cdr:x>
      <cdr:y>0.35745</cdr:y>
    </cdr:to>
    <cdr:sp macro="" textlink="">
      <cdr:nvSpPr>
        <cdr:cNvPr id="64537" name="Oval 2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620147" y="1249759"/>
          <a:ext cx="2539603" cy="830924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32004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1" i="0" u="none" strike="noStrike" baseline="0">
              <a:solidFill>
                <a:srgbClr val="0000FF"/>
              </a:solidFill>
              <a:latin typeface="Arial"/>
              <a:cs typeface="Arial"/>
            </a:rPr>
            <a:t>Need to focus on Zero-Use-Phones</a:t>
          </a:r>
        </a:p>
      </cdr:txBody>
    </cdr:sp>
  </cdr:relSizeAnchor>
  <cdr:relSizeAnchor xmlns:cdr="http://schemas.openxmlformats.org/drawingml/2006/chartDrawing">
    <cdr:from>
      <cdr:x>0</cdr:x>
      <cdr:y>0.02925</cdr:y>
    </cdr:from>
    <cdr:to>
      <cdr:x>0.21185</cdr:x>
      <cdr:y>0.05992</cdr:y>
    </cdr:to>
    <cdr:sp macro="" textlink="">
      <cdr:nvSpPr>
        <cdr:cNvPr id="64539" name="Text Box DIV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70646"/>
          <a:ext cx="1818639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Wireless Savings Review</a:t>
          </a:r>
        </a:p>
      </cdr:txBody>
    </cdr:sp>
  </cdr:relSizeAnchor>
  <cdr:relSizeAnchor xmlns:cdr="http://schemas.openxmlformats.org/drawingml/2006/chartDrawing">
    <cdr:from>
      <cdr:x>0</cdr:x>
      <cdr:y>0.0555</cdr:y>
    </cdr:from>
    <cdr:to>
      <cdr:x>0.11751</cdr:x>
      <cdr:y>0.08617</cdr:y>
    </cdr:to>
    <cdr:sp macro="" textlink="">
      <cdr:nvSpPr>
        <cdr:cNvPr id="64540" name="Text Box Dat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23790"/>
          <a:ext cx="1008738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January 2023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0.14152</cdr:x>
      <cdr:y>0.03068</cdr:y>
    </cdr:to>
    <cdr:sp macro="" textlink="">
      <cdr:nvSpPr>
        <cdr:cNvPr id="64541" name="Text Box COMP NAME" descr="Slattery-Skanska&#10;Wireless Review&#10;January 2004&#10;Carrier Comparison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14884" cy="1789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3366" mc:Ignorable="a14" a14:legacySpreadsheetColorIndex="56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wrap="none" lIns="27432" tIns="22860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ABC Corporation</a:t>
          </a:r>
        </a:p>
      </cdr:txBody>
    </cdr:sp>
  </cdr:relSizeAnchor>
  <cdr:relSizeAnchor xmlns:cdr="http://schemas.openxmlformats.org/drawingml/2006/chartDrawing">
    <cdr:from>
      <cdr:x>0</cdr:x>
      <cdr:y>0.08115</cdr:y>
    </cdr:from>
    <cdr:to>
      <cdr:x>0.23529</cdr:x>
      <cdr:y>0.14507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7C082F1-CB8E-6E41-192A-722CD5B20355}"/>
            </a:ext>
          </a:extLst>
        </cdr:cNvPr>
        <cdr:cNvSpPr txBox="1"/>
      </cdr:nvSpPr>
      <cdr:spPr>
        <a:xfrm xmlns:a="http://schemas.openxmlformats.org/drawingml/2006/main">
          <a:off x="0" y="472621"/>
          <a:ext cx="2013857" cy="37221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9050">
          <a:solidFill>
            <a:schemeClr val="accent1"/>
          </a:solidFill>
        </a:ln>
      </cdr:spPr>
      <cdr:txBody>
        <a:bodyPr xmlns:a="http://schemas.openxmlformats.org/drawingml/2006/main" wrap="square" tIns="18288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Hire Rich Sweeny!</a:t>
          </a:r>
        </a:p>
        <a:p xmlns:a="http://schemas.openxmlformats.org/drawingml/2006/main">
          <a:r>
            <a:rPr lang="en-US" sz="8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RichSweeny@SweenyWasHere.com</a:t>
          </a:r>
        </a:p>
        <a:p xmlns:a="http://schemas.openxmlformats.org/drawingml/2006/main">
          <a:r>
            <a:rPr lang="en-US" sz="80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rPr>
            <a:t>516-359-6454</a:t>
          </a:r>
        </a:p>
      </cdr:txBody>
    </cdr:sp>
  </cdr:relSizeAnchor>
  <cdr:relSizeAnchor xmlns:cdr="http://schemas.openxmlformats.org/drawingml/2006/chartDrawing">
    <cdr:from>
      <cdr:x>0.24411</cdr:x>
      <cdr:y>0</cdr:y>
    </cdr:from>
    <cdr:to>
      <cdr:x>0.33064</cdr:x>
      <cdr:y>0.04897</cdr:y>
    </cdr:to>
    <cdr:pic macro="[0]!btn_Home_Click">
      <cdr:nvPicPr>
        <cdr:cNvPr id="16" name="btn_HomeBLANK">
          <a:extLst xmlns:a="http://schemas.openxmlformats.org/drawingml/2006/main">
            <a:ext uri="{FF2B5EF4-FFF2-40B4-BE49-F238E27FC236}">
              <a16:creationId xmlns:a16="http://schemas.microsoft.com/office/drawing/2014/main" id="{9E3EE68A-80CF-DD37-07F6-48B477333AC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20955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0.32991</cdr:x>
      <cdr:y>0</cdr:y>
    </cdr:from>
    <cdr:to>
      <cdr:x>0.41645</cdr:x>
      <cdr:y>0.04897</cdr:y>
    </cdr:to>
    <cdr:pic macro="[0]!btn_Next_Click">
      <cdr:nvPicPr>
        <cdr:cNvPr id="17" name="btn_NextBLANK">
          <a:extLst xmlns:a="http://schemas.openxmlformats.org/drawingml/2006/main">
            <a:ext uri="{FF2B5EF4-FFF2-40B4-BE49-F238E27FC236}">
              <a16:creationId xmlns:a16="http://schemas.microsoft.com/office/drawing/2014/main" id="{F3485064-C7C7-987F-E871-0F8C9C519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cdr:blipFill>
      <cdr:spPr>
        <a:xfrm xmlns:a="http://schemas.openxmlformats.org/drawingml/2006/main">
          <a:off x="28321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0.41572</cdr:x>
      <cdr:y>0</cdr:y>
    </cdr:from>
    <cdr:to>
      <cdr:x>0.50225</cdr:x>
      <cdr:y>0.04897</cdr:y>
    </cdr:to>
    <cdr:pic macro="[0]!btn_Previous_Click">
      <cdr:nvPicPr>
        <cdr:cNvPr id="18" name="btn_PreviousBLANK">
          <a:extLst xmlns:a="http://schemas.openxmlformats.org/drawingml/2006/main">
            <a:ext uri="{FF2B5EF4-FFF2-40B4-BE49-F238E27FC236}">
              <a16:creationId xmlns:a16="http://schemas.microsoft.com/office/drawing/2014/main" id="{0FD12172-4B19-C8DC-CE9A-10719077B27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cdr:blipFill>
      <cdr:spPr>
        <a:xfrm xmlns:a="http://schemas.openxmlformats.org/drawingml/2006/main">
          <a:off x="35687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0.50153</cdr:x>
      <cdr:y>0</cdr:y>
    </cdr:from>
    <cdr:to>
      <cdr:x>0.58806</cdr:x>
      <cdr:y>0.04897</cdr:y>
    </cdr:to>
    <cdr:pic macro="[0]!btn_Zoom_In_Click">
      <cdr:nvPicPr>
        <cdr:cNvPr id="19" name="btn_Zoom_InBLANK">
          <a:extLst xmlns:a="http://schemas.openxmlformats.org/drawingml/2006/main">
            <a:ext uri="{FF2B5EF4-FFF2-40B4-BE49-F238E27FC236}">
              <a16:creationId xmlns:a16="http://schemas.microsoft.com/office/drawing/2014/main" id="{19E3C348-A849-5EB0-9679-5CA5C26821D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cdr:blipFill>
      <cdr:spPr>
        <a:xfrm xmlns:a="http://schemas.openxmlformats.org/drawingml/2006/main">
          <a:off x="43053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0.58733</cdr:x>
      <cdr:y>0</cdr:y>
    </cdr:from>
    <cdr:to>
      <cdr:x>0.67387</cdr:x>
      <cdr:y>0.04897</cdr:y>
    </cdr:to>
    <cdr:pic macro="[0]!btn_Zoom_Out_Click">
      <cdr:nvPicPr>
        <cdr:cNvPr id="20" name="btn_Zoom_OutBLANK">
          <a:extLst xmlns:a="http://schemas.openxmlformats.org/drawingml/2006/main">
            <a:ext uri="{FF2B5EF4-FFF2-40B4-BE49-F238E27FC236}">
              <a16:creationId xmlns:a16="http://schemas.microsoft.com/office/drawing/2014/main" id="{93A470FC-7C37-8AA2-FAA7-E1378F398C0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cdr:blipFill>
      <cdr:spPr>
        <a:xfrm xmlns:a="http://schemas.openxmlformats.org/drawingml/2006/main">
          <a:off x="5041900" y="0"/>
          <a:ext cx="742857" cy="2857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0.67314</cdr:x>
      <cdr:y>0</cdr:y>
    </cdr:from>
    <cdr:to>
      <cdr:x>0.79296</cdr:x>
      <cdr:y>0.04897</cdr:y>
    </cdr:to>
    <cdr:pic macro="[0]!btn_Print_Click">
      <cdr:nvPicPr>
        <cdr:cNvPr id="21" name="btn_PrintBLANK">
          <a:extLst xmlns:a="http://schemas.openxmlformats.org/drawingml/2006/main">
            <a:ext uri="{FF2B5EF4-FFF2-40B4-BE49-F238E27FC236}">
              <a16:creationId xmlns:a16="http://schemas.microsoft.com/office/drawing/2014/main" id="{61C0ADE1-C450-C9B4-B361-7E2274B2D1D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cdr:blipFill>
      <cdr:spPr>
        <a:xfrm xmlns:a="http://schemas.openxmlformats.org/drawingml/2006/main">
          <a:off x="5778500" y="0"/>
          <a:ext cx="1028571" cy="285714"/>
        </a:xfrm>
        <a:prstGeom xmlns:a="http://schemas.openxmlformats.org/drawingml/2006/main" prst="rect">
          <a:avLst/>
        </a:prstGeom>
      </cdr:spPr>
    </cdr:pic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AEF211-1CE9-4553-9668-DB1A69703F91}" name="DataSource_0" displayName="DataSource_0" ref="B4:AJ17" totalsRowCount="1" headerRowDxfId="133" totalsRowCellStyle="Normal 2">
  <autoFilter ref="B4:AJ16" xr:uid="{F234517B-6B2E-4FF3-8246-A26055E49A2F}"/>
  <tableColumns count="35">
    <tableColumn id="1" xr3:uid="{4BD9401A-1721-42E2-87D4-A7E00E8A931E}" name="Month" dataDxfId="132" totalsRowDxfId="131"/>
    <tableColumn id="2" xr3:uid="{F2A2C099-93F5-40A3-A397-CA245A998F92}" name="No. of Devices" totalsRowDxfId="130"/>
    <tableColumn id="3" xr3:uid="{355057A4-B526-4B57-A462-5AE8D7D7D54C}" name="Cell Phone Growth Rate" dataDxfId="129" totalsRowDxfId="128"/>
    <tableColumn id="4" xr3:uid="{91B204CF-B143-4B60-A334-951959354882}" name="Monthly Wireless Spend" dataDxfId="127" totalsRowDxfId="126"/>
    <tableColumn id="5" xr3:uid="{5B421027-5105-42F2-88A6-DAAA96B2EA10}" name="Monthly Wireless Spend Growth Rate" dataDxfId="125" totalsRowDxfId="124"/>
    <tableColumn id="6" xr3:uid="{81D421B7-E88A-4956-82EF-B76CCBAF5C5A}" name="Monthly Minutes of Use" dataDxfId="123" totalsRowDxfId="122"/>
    <tableColumn id="7" xr3:uid="{63F4AA56-124C-4769-B46F-F275CA37323F}" name="Monthly Minutes Growth Rate" dataDxfId="121" totalsRowDxfId="120"/>
    <tableColumn id="8" xr3:uid="{BC9FAA5D-FEC6-4835-AFB6-2B719D24CC56}" name="Average Cost/ Phone" dataDxfId="119" totalsRowDxfId="118"/>
    <tableColumn id="9" xr3:uid="{885D7EA7-3046-4D77-AE0C-91B0D20CEE30}" name="Average Savings/ Phone/ Month" dataDxfId="117" totalsRowDxfId="116" dataCellStyle="Normal 2"/>
    <tableColumn id="10" xr3:uid="{3DA7A482-690D-4D97-A191-358A9A7B7B82}" name="Monthly Savings /Phone" dataDxfId="115" totalsRowDxfId="114"/>
    <tableColumn id="11" xr3:uid="{63214815-31F1-4048-A259-AA593BC96348}" name="Monthly Savings vs. Baseline" dataDxfId="113" totalsRowDxfId="112"/>
    <tableColumn id="12" xr3:uid="{52AA8DFB-E47D-4144-8406-B041F01FC8A2}" name="Cumulative Monthly Savings" dataDxfId="111" totalsRowDxfId="110"/>
    <tableColumn id="13" xr3:uid="{EEC3EFBF-7B82-4612-8179-808D8698D259}" name="MobileManager Cost per User" dataDxfId="109" totalsRowDxfId="108"/>
    <tableColumn id="14" xr3:uid="{C0DA09B1-D3ED-4F78-863C-9EC05EA548ED}" name="Net Monthly Savings" dataDxfId="107" totalsRowDxfId="106"/>
    <tableColumn id="15" xr3:uid="{EE410B09-814E-4801-A7B4-074365DF93B8}" name="Net Cumulative Savings" dataDxfId="105" totalsRowDxfId="104"/>
    <tableColumn id="16" xr3:uid="{9A2106B5-25EE-4C48-A45B-34A8C70FC7FD}" name="Monthly Mins. of Use" dataDxfId="103" totalsRowDxfId="102"/>
    <tableColumn id="17" xr3:uid="{3515266E-6F47-4111-A89C-18F32F248C6C}" name="Cell Talk Time Growth Rate/Mo." dataDxfId="101" totalsRowDxfId="100"/>
    <tableColumn id="18" xr3:uid="{C379321F-9216-4EFE-B20E-BE2D23A3A8E9}" name="Cost Per Minute" dataDxfId="99" totalsRowDxfId="98"/>
    <tableColumn id="19" xr3:uid="{B6BFA058-CF6D-4D7D-855F-CC8E39112E51}" name="Two Way Radio Time" dataDxfId="97" totalsRowDxfId="96"/>
    <tableColumn id="20" xr3:uid="{6FD28C1D-A7FC-46D8-8634-B3166AA8F65C}" name="Plan Charge" dataDxfId="95" totalsRowDxfId="94"/>
    <tableColumn id="21" xr3:uid="{61A037F9-73B5-44F0-88D9-D169F218119D}" name="Overage Cost" dataDxfId="93" totalsRowDxfId="92"/>
    <tableColumn id="22" xr3:uid="{76EFDEB2-5C58-49A0-8A4C-534DB28A11DB}" name="Overage Time" dataDxfId="91" totalsRowDxfId="90"/>
    <tableColumn id="23" xr3:uid="{A017559C-A07A-4C2B-B167-43802E1F8228}" name="Long Distance Cost" dataDxfId="89" totalsRowDxfId="88"/>
    <tableColumn id="24" xr3:uid="{99FE978E-1FDC-4EDD-BC40-58D4356F5855}" name="Long Distance Time" totalsRowDxfId="87"/>
    <tableColumn id="25" xr3:uid="{481AE218-15A3-4BC6-9F5E-8BA33FC223C7}" name="Roaming Charge" dataDxfId="86" totalsRowDxfId="85"/>
    <tableColumn id="26" xr3:uid="{494C5DC0-7265-428D-93D4-AD1D3C80E5E3}" name="Roamng Time" totalsRowDxfId="84"/>
    <tableColumn id="27" xr3:uid="{0BEB9FB2-B63D-4B31-9C6C-1CA3700F74A9}" name="International Calling Charge" dataDxfId="83" totalsRowDxfId="82"/>
    <tableColumn id="28" xr3:uid="{95359B73-8C78-437D-A85C-B9B9C0F4F551}" name="Non Usage Cost" dataDxfId="81" totalsRowDxfId="80"/>
    <tableColumn id="29" xr3:uid="{6F6FF897-1085-4903-9416-3E33FA11A0AA}" name="Usage Cost" dataDxfId="79" totalsRowDxfId="78"/>
    <tableColumn id="30" xr3:uid="{700FA586-BC7F-47F9-AE65-1C6B899354E9}" name="12 M Usg Cost Avg" dataDxfId="77" totalsRowDxfId="76"/>
    <tableColumn id="31" xr3:uid="{6F0A5F00-0E1B-4EFE-8A3B-442893358D29}" name="Usage Cost Per Min" dataDxfId="75" totalsRowDxfId="74"/>
    <tableColumn id="32" xr3:uid="{C5AE2C9B-AF55-4984-9A41-0DC877179BD6}" name="Usg Cost 12 Mo. Avg." dataDxfId="73" totalsRowDxfId="72"/>
    <tableColumn id="33" xr3:uid="{35B9C679-27F9-4AC6-9855-AFB521FC99C9}" name="Cumulative Wireless Spend" dataDxfId="71" totalsRowDxfId="70"/>
    <tableColumn id="34" xr3:uid="{533E9B50-0E3A-4212-B4C8-39D2B457CBE2}" name="Perc Avg Savings Per Month" dataDxfId="69" totalsRowDxfId="68"/>
    <tableColumn id="35" xr3:uid="{A06E4758-E334-4494-AEFB-4B0241F1EB45}" name="Monthly Savings as % of Spend" totalsRowDxfId="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F6F3FF-F6FB-4D46-8AB4-48144ECE74E9}" name="DataSource_1" displayName="DataSource_1" ref="B4:AJ17" totalsRowCount="1" headerRowDxfId="66" totalsRowCellStyle="Normal 2">
  <autoFilter ref="B4:AJ16" xr:uid="{F234517B-6B2E-4FF3-8246-A26055E49A2F}"/>
  <tableColumns count="35">
    <tableColumn id="1" xr3:uid="{B52AAA3D-D750-4D19-9026-F81C6E4CC857}" name="Month" dataDxfId="65" totalsRowDxfId="64"/>
    <tableColumn id="2" xr3:uid="{DA950AF6-30CD-4ACE-83FA-18D6FC4645F0}" name="No. of Devices" totalsRowDxfId="63"/>
    <tableColumn id="3" xr3:uid="{CA54C8EF-CCE6-4F75-94CF-3F2F4078F38A}" name="Cell Phone Growth Rate" dataDxfId="62" totalsRowDxfId="61"/>
    <tableColumn id="4" xr3:uid="{32F143B0-D57F-4F21-BA26-6C972043579F}" name="Monthly Wireless Spend" dataDxfId="60" totalsRowDxfId="59"/>
    <tableColumn id="5" xr3:uid="{65EB05A9-B8A4-42B2-8A4A-B45B0BFFE4FD}" name="Monthly Wireless Spend Growth Rate" dataDxfId="58" totalsRowDxfId="57"/>
    <tableColumn id="6" xr3:uid="{4BAF5D2F-6A68-45A4-A956-2C6C12BE445F}" name="Monthly Minutes of Use" dataDxfId="56" totalsRowDxfId="55"/>
    <tableColumn id="7" xr3:uid="{A53BA64E-4D78-4024-A2B2-1B7E265B9D77}" name="Monthly Minutes Growth Rate" dataDxfId="54" totalsRowDxfId="53"/>
    <tableColumn id="8" xr3:uid="{5379A894-4224-455E-87F7-271645B309D6}" name="Average Cost/ Phone" dataDxfId="52" totalsRowDxfId="51"/>
    <tableColumn id="9" xr3:uid="{876F934C-1F12-4E21-9650-30680662586C}" name="Average Savings/ Phone/ Month" dataDxfId="50" totalsRowDxfId="49" dataCellStyle="Normal 2"/>
    <tableColumn id="10" xr3:uid="{24088F1C-D585-43C7-BE93-0830B14E9B40}" name="Monthly Savings /Phone" dataDxfId="48" totalsRowDxfId="47"/>
    <tableColumn id="11" xr3:uid="{953350B4-6BEB-41F4-8721-E1415278F38F}" name="Monthly Savings vs. Baseline" dataDxfId="46" totalsRowDxfId="45"/>
    <tableColumn id="12" xr3:uid="{70DB3CDF-52E0-439A-9853-F5ACFEB4A378}" name="Cumulative Monthly Savings" dataDxfId="44" totalsRowDxfId="43"/>
    <tableColumn id="13" xr3:uid="{748D343E-EEC5-47C3-A72F-7DB0F4D9D1E6}" name="MobileManager Cost per User" dataDxfId="42" totalsRowDxfId="41"/>
    <tableColumn id="14" xr3:uid="{07240535-F169-4E2E-824A-2DB108CDEBEC}" name="Net Monthly Savings" dataDxfId="40" totalsRowDxfId="39"/>
    <tableColumn id="15" xr3:uid="{F4372FB8-E42C-4AA5-90E7-2E08B3115403}" name="Net Cumulative Savings" dataDxfId="38" totalsRowDxfId="37"/>
    <tableColumn id="16" xr3:uid="{5781C020-5EFB-41E3-B8EC-7272B1F915BD}" name="Monthly Mins. of Use" dataDxfId="36" totalsRowDxfId="35"/>
    <tableColumn id="17" xr3:uid="{B971F60B-3AA7-43F4-9DF9-C12B3F40DCFE}" name="Cell Talk Time Growth Rate/Mo." dataDxfId="34" totalsRowDxfId="33"/>
    <tableColumn id="18" xr3:uid="{ADC46607-6097-4EF1-9044-1E29EBD11F45}" name="Cost Per Minute" dataDxfId="32" totalsRowDxfId="31"/>
    <tableColumn id="19" xr3:uid="{5C230C2F-A89E-4F15-934A-7EFC76E91D21}" name="Two Way Radio Time" dataDxfId="30" totalsRowDxfId="29"/>
    <tableColumn id="20" xr3:uid="{6B229FB2-E48D-4695-88D0-09A6009BBA26}" name="Plan Charge" dataDxfId="28" totalsRowDxfId="27"/>
    <tableColumn id="21" xr3:uid="{F4CD538A-905B-4587-9F0D-83AEF78D3ABF}" name="Overage Cost" dataDxfId="26" totalsRowDxfId="25"/>
    <tableColumn id="22" xr3:uid="{5CF6CF50-E3F1-4619-9E82-37DAF079BF77}" name="Overage Time" dataDxfId="24" totalsRowDxfId="23"/>
    <tableColumn id="23" xr3:uid="{D718B1E5-9518-48D8-B69B-C6FDCA5B0CC4}" name="Long Distance Cost" dataDxfId="22" totalsRowDxfId="21"/>
    <tableColumn id="24" xr3:uid="{DA51C25F-DDBA-4B9B-B86C-0A17C57BDA7D}" name="Long Distance Time" totalsRowDxfId="20"/>
    <tableColumn id="25" xr3:uid="{206854B4-8A6B-44CC-8B86-378E76297B05}" name="Roaming Charge" dataDxfId="19" totalsRowDxfId="18"/>
    <tableColumn id="26" xr3:uid="{C30A5203-C3B5-4CDB-B426-0F86811505DF}" name="Roamng Time" totalsRowDxfId="17"/>
    <tableColumn id="27" xr3:uid="{5F5FDAAC-926E-479E-A5C8-673951C82EF6}" name="International Calling Charge" dataDxfId="16" totalsRowDxfId="15"/>
    <tableColumn id="28" xr3:uid="{F1548D33-5A5B-405E-9AC0-2959E563D75A}" name="Non Usage Cost" dataDxfId="14" totalsRowDxfId="13"/>
    <tableColumn id="29" xr3:uid="{6CAF1BBB-4D22-4C7F-B4DD-0C5D29033F6A}" name="Usage Cost" dataDxfId="12" totalsRowDxfId="11"/>
    <tableColumn id="30" xr3:uid="{A75E20B8-E3B9-479E-890E-C3C077D637F6}" name="12 M Usg Cost Avg" dataDxfId="10" totalsRowDxfId="9"/>
    <tableColumn id="31" xr3:uid="{11B39D89-723E-4B7B-9BDF-70435829F548}" name="Usage Cost Per Min" dataDxfId="8" totalsRowDxfId="7"/>
    <tableColumn id="32" xr3:uid="{A68FA62C-B676-437E-99E0-814ABBD7FD29}" name="Usg Cost 12 Mo. Avg." dataDxfId="6" totalsRowDxfId="5"/>
    <tableColumn id="33" xr3:uid="{674C4834-45BC-45DB-9BD2-40C842C8EEB1}" name="Cumulative Wireless Spend" dataDxfId="4" totalsRowDxfId="3"/>
    <tableColumn id="34" xr3:uid="{44F272D8-E646-492C-8B2B-A8C284CDBBCE}" name="Perc Avg Savings Per Month" dataDxfId="2" totalsRowDxfId="1"/>
    <tableColumn id="35" xr3:uid="{ED3EB6F1-B5B6-468A-9701-203B9564886E}" name="Monthly Savings as % of Spend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E24AA-CF15-4BEE-83AA-CBFF898F5F7C}">
  <sheetPr codeName="Sheet32">
    <tabColor rgb="FFFFFF00"/>
  </sheetPr>
  <dimension ref="B1:AV45"/>
  <sheetViews>
    <sheetView zoomScale="80" zoomScaleNormal="80" workbookViewId="0"/>
  </sheetViews>
  <sheetFormatPr defaultRowHeight="12.75" x14ac:dyDescent="0.2"/>
  <cols>
    <col min="1" max="1" width="9.140625" style="4"/>
    <col min="2" max="2" width="9.85546875" style="4" customWidth="1"/>
    <col min="3" max="3" width="10.140625" style="4" customWidth="1"/>
    <col min="4" max="4" width="14.42578125" style="4" customWidth="1"/>
    <col min="5" max="5" width="11.28515625" style="4" customWidth="1"/>
    <col min="6" max="6" width="15.28515625" style="4" customWidth="1"/>
    <col min="7" max="7" width="9.42578125" style="4" customWidth="1"/>
    <col min="8" max="9" width="13.85546875" style="4" customWidth="1"/>
    <col min="10" max="10" width="14.85546875" style="4" customWidth="1"/>
    <col min="11" max="11" width="10" style="4" customWidth="1"/>
    <col min="12" max="12" width="12" style="4" customWidth="1"/>
    <col min="13" max="13" width="12.140625" style="4" customWidth="1"/>
    <col min="14" max="14" width="16.140625" style="4" customWidth="1"/>
    <col min="15" max="15" width="13.140625" style="4" customWidth="1"/>
    <col min="16" max="16" width="12.5703125" style="4" customWidth="1"/>
    <col min="17" max="17" width="14" style="4" customWidth="1"/>
    <col min="18" max="18" width="17.85546875" style="4" customWidth="1"/>
    <col min="19" max="19" width="10.5703125" style="4" customWidth="1"/>
    <col min="20" max="20" width="14.140625" style="4" customWidth="1"/>
    <col min="21" max="21" width="8.7109375" style="4" customWidth="1"/>
    <col min="22" max="22" width="10.42578125" style="4" customWidth="1"/>
    <col min="23" max="23" width="9.42578125" style="4" customWidth="1"/>
    <col min="24" max="24" width="10.42578125" style="4" customWidth="1"/>
    <col min="25" max="25" width="10.7109375" style="4" customWidth="1"/>
    <col min="26" max="26" width="10.140625" style="4" customWidth="1"/>
    <col min="27" max="27" width="9.42578125" style="4" customWidth="1"/>
    <col min="28" max="28" width="10.42578125" style="4" customWidth="1"/>
    <col min="29" max="29" width="11" style="4" customWidth="1"/>
    <col min="30" max="30" width="8" style="4" customWidth="1"/>
    <col min="31" max="31" width="11.140625" style="4" customWidth="1"/>
    <col min="32" max="32" width="11.5703125" style="4" customWidth="1"/>
    <col min="33" max="33" width="12.42578125" style="4" customWidth="1"/>
    <col min="34" max="34" width="11.85546875" style="4" customWidth="1"/>
    <col min="35" max="35" width="10.85546875" style="4" customWidth="1"/>
    <col min="36" max="36" width="16.7109375" style="4" customWidth="1"/>
    <col min="37" max="46" width="0" style="4" hidden="1" customWidth="1"/>
    <col min="47" max="47" width="19.42578125" style="4" bestFit="1" customWidth="1"/>
    <col min="48" max="48" width="14.7109375" style="4" bestFit="1" customWidth="1"/>
    <col min="49" max="16384" width="9.140625" style="4"/>
  </cols>
  <sheetData>
    <row r="1" spans="2:36" ht="25.5" x14ac:dyDescent="0.35">
      <c r="B1" s="7" t="s">
        <v>46</v>
      </c>
    </row>
    <row r="4" spans="2:36" ht="38.25" x14ac:dyDescent="0.2">
      <c r="B4" s="15" t="s">
        <v>0</v>
      </c>
      <c r="C4" s="15" t="s">
        <v>48</v>
      </c>
      <c r="D4" s="15" t="s">
        <v>1</v>
      </c>
      <c r="E4" s="16" t="s">
        <v>2</v>
      </c>
      <c r="F4" s="15" t="s">
        <v>3</v>
      </c>
      <c r="G4" s="15" t="s">
        <v>4</v>
      </c>
      <c r="H4" s="15" t="s">
        <v>5</v>
      </c>
      <c r="I4" s="15" t="s">
        <v>6</v>
      </c>
      <c r="J4" s="15" t="s">
        <v>39</v>
      </c>
      <c r="K4" s="15" t="s">
        <v>40</v>
      </c>
      <c r="L4" s="15" t="s">
        <v>42</v>
      </c>
      <c r="M4" s="15" t="s">
        <v>7</v>
      </c>
      <c r="N4" s="15" t="s">
        <v>8</v>
      </c>
      <c r="O4" s="15" t="s">
        <v>9</v>
      </c>
      <c r="P4" s="15" t="s">
        <v>10</v>
      </c>
      <c r="Q4" s="15" t="s">
        <v>11</v>
      </c>
      <c r="R4" s="15" t="s">
        <v>12</v>
      </c>
      <c r="S4" s="15" t="s">
        <v>13</v>
      </c>
      <c r="T4" s="15" t="s">
        <v>53</v>
      </c>
      <c r="U4" s="15" t="s">
        <v>43</v>
      </c>
      <c r="V4" s="15" t="s">
        <v>44</v>
      </c>
      <c r="W4" s="15" t="s">
        <v>45</v>
      </c>
      <c r="X4" s="15" t="s">
        <v>49</v>
      </c>
      <c r="Y4" s="15" t="s">
        <v>50</v>
      </c>
      <c r="Z4" s="15" t="s">
        <v>52</v>
      </c>
      <c r="AA4" s="15" t="s">
        <v>51</v>
      </c>
      <c r="AB4" s="15" t="s">
        <v>54</v>
      </c>
      <c r="AC4" s="15" t="s">
        <v>41</v>
      </c>
      <c r="AD4" s="15" t="s">
        <v>14</v>
      </c>
      <c r="AE4" s="15" t="s">
        <v>15</v>
      </c>
      <c r="AF4" s="15" t="s">
        <v>16</v>
      </c>
      <c r="AG4" s="15" t="s">
        <v>17</v>
      </c>
      <c r="AH4" s="15" t="s">
        <v>18</v>
      </c>
      <c r="AI4" s="16" t="s">
        <v>19</v>
      </c>
      <c r="AJ4" s="16" t="s">
        <v>20</v>
      </c>
    </row>
    <row r="5" spans="2:36" x14ac:dyDescent="0.2">
      <c r="B5" s="8">
        <v>44562</v>
      </c>
      <c r="C5" s="4">
        <v>0</v>
      </c>
      <c r="D5" s="9">
        <v>0</v>
      </c>
      <c r="E5" s="12">
        <v>0</v>
      </c>
      <c r="F5" s="9">
        <v>0</v>
      </c>
      <c r="G5" s="10">
        <v>0</v>
      </c>
      <c r="H5" s="9">
        <v>0</v>
      </c>
      <c r="I5" s="11">
        <v>0</v>
      </c>
      <c r="J5" s="11">
        <v>0</v>
      </c>
      <c r="K5" s="11">
        <v>0</v>
      </c>
      <c r="L5" s="12">
        <v>0</v>
      </c>
      <c r="M5" s="12">
        <v>0</v>
      </c>
      <c r="N5" s="11">
        <v>0</v>
      </c>
      <c r="O5" s="12">
        <v>0</v>
      </c>
      <c r="P5" s="12">
        <v>0</v>
      </c>
      <c r="Q5" s="10">
        <v>0</v>
      </c>
      <c r="R5" s="9">
        <v>0</v>
      </c>
      <c r="S5" s="13">
        <v>0</v>
      </c>
      <c r="T5" s="10">
        <v>0</v>
      </c>
      <c r="U5" s="12">
        <v>0</v>
      </c>
      <c r="V5" s="12">
        <v>0</v>
      </c>
      <c r="W5" s="10">
        <v>0</v>
      </c>
      <c r="X5" s="12">
        <v>0</v>
      </c>
      <c r="Y5" s="4">
        <v>0</v>
      </c>
      <c r="Z5" s="12">
        <v>0</v>
      </c>
      <c r="AA5" s="4">
        <v>0</v>
      </c>
      <c r="AB5" s="12">
        <v>0</v>
      </c>
      <c r="AC5" s="12">
        <v>0</v>
      </c>
      <c r="AD5" s="12">
        <v>0</v>
      </c>
      <c r="AE5" s="12">
        <v>0</v>
      </c>
      <c r="AF5" s="11">
        <v>0</v>
      </c>
      <c r="AG5" s="11">
        <v>0</v>
      </c>
      <c r="AH5" s="12">
        <v>0</v>
      </c>
      <c r="AI5" s="14">
        <v>0</v>
      </c>
    </row>
    <row r="6" spans="2:36" x14ac:dyDescent="0.2">
      <c r="B6" s="8">
        <v>44593</v>
      </c>
      <c r="C6" s="4">
        <v>0</v>
      </c>
      <c r="D6" s="9">
        <v>0</v>
      </c>
      <c r="E6" s="12">
        <v>0</v>
      </c>
      <c r="F6" s="9">
        <v>0</v>
      </c>
      <c r="G6" s="10">
        <v>0</v>
      </c>
      <c r="H6" s="9">
        <v>0</v>
      </c>
      <c r="I6" s="11">
        <v>0</v>
      </c>
      <c r="J6" s="11">
        <v>0</v>
      </c>
      <c r="K6" s="11">
        <v>0</v>
      </c>
      <c r="L6" s="12">
        <v>0</v>
      </c>
      <c r="M6" s="12">
        <v>0</v>
      </c>
      <c r="N6" s="11">
        <v>0</v>
      </c>
      <c r="O6" s="12">
        <v>0</v>
      </c>
      <c r="P6" s="12">
        <v>0</v>
      </c>
      <c r="Q6" s="10">
        <v>0</v>
      </c>
      <c r="R6" s="9">
        <v>0</v>
      </c>
      <c r="S6" s="13">
        <v>0</v>
      </c>
      <c r="T6" s="10">
        <v>0</v>
      </c>
      <c r="U6" s="12">
        <v>0</v>
      </c>
      <c r="V6" s="12">
        <v>0</v>
      </c>
      <c r="W6" s="10">
        <v>0</v>
      </c>
      <c r="X6" s="12">
        <v>0</v>
      </c>
      <c r="Y6" s="4">
        <v>0</v>
      </c>
      <c r="Z6" s="12">
        <v>0</v>
      </c>
      <c r="AA6" s="4">
        <v>0</v>
      </c>
      <c r="AB6" s="12">
        <v>0</v>
      </c>
      <c r="AC6" s="12">
        <v>0</v>
      </c>
      <c r="AD6" s="12">
        <v>0</v>
      </c>
      <c r="AE6" s="12">
        <v>0</v>
      </c>
      <c r="AF6" s="11">
        <v>0</v>
      </c>
      <c r="AG6" s="11">
        <v>0</v>
      </c>
      <c r="AH6" s="12">
        <v>0</v>
      </c>
      <c r="AI6" s="14">
        <v>0</v>
      </c>
    </row>
    <row r="7" spans="2:36" x14ac:dyDescent="0.2">
      <c r="B7" s="8">
        <v>44621</v>
      </c>
      <c r="C7" s="4">
        <v>0</v>
      </c>
      <c r="D7" s="9">
        <v>0</v>
      </c>
      <c r="E7" s="12">
        <v>0</v>
      </c>
      <c r="F7" s="9">
        <v>0</v>
      </c>
      <c r="G7" s="10">
        <v>0</v>
      </c>
      <c r="H7" s="9">
        <v>0</v>
      </c>
      <c r="I7" s="11">
        <v>0</v>
      </c>
      <c r="J7" s="11">
        <v>0</v>
      </c>
      <c r="K7" s="11">
        <v>0</v>
      </c>
      <c r="L7" s="12">
        <v>0</v>
      </c>
      <c r="M7" s="12">
        <v>0</v>
      </c>
      <c r="N7" s="11">
        <v>0</v>
      </c>
      <c r="O7" s="12">
        <v>0</v>
      </c>
      <c r="P7" s="12">
        <v>0</v>
      </c>
      <c r="Q7" s="10">
        <v>0</v>
      </c>
      <c r="R7" s="9">
        <v>0</v>
      </c>
      <c r="S7" s="13">
        <v>0</v>
      </c>
      <c r="T7" s="10">
        <v>0</v>
      </c>
      <c r="U7" s="12">
        <v>0</v>
      </c>
      <c r="V7" s="12">
        <v>0</v>
      </c>
      <c r="W7" s="10">
        <v>0</v>
      </c>
      <c r="X7" s="12">
        <v>0</v>
      </c>
      <c r="Y7" s="4">
        <v>0</v>
      </c>
      <c r="Z7" s="12">
        <v>0</v>
      </c>
      <c r="AA7" s="4">
        <v>0</v>
      </c>
      <c r="AB7" s="12">
        <v>0</v>
      </c>
      <c r="AC7" s="12">
        <v>0</v>
      </c>
      <c r="AD7" s="12">
        <v>0</v>
      </c>
      <c r="AE7" s="12">
        <v>0</v>
      </c>
      <c r="AF7" s="11">
        <v>0</v>
      </c>
      <c r="AG7" s="11">
        <v>0</v>
      </c>
      <c r="AH7" s="12">
        <v>0</v>
      </c>
      <c r="AI7" s="14">
        <v>0</v>
      </c>
    </row>
    <row r="8" spans="2:36" x14ac:dyDescent="0.2">
      <c r="B8" s="8">
        <v>44652</v>
      </c>
      <c r="C8" s="4">
        <v>0</v>
      </c>
      <c r="D8" s="9">
        <v>0</v>
      </c>
      <c r="E8" s="12">
        <v>0</v>
      </c>
      <c r="F8" s="9">
        <v>0</v>
      </c>
      <c r="G8" s="10">
        <v>0</v>
      </c>
      <c r="H8" s="9">
        <v>0</v>
      </c>
      <c r="I8" s="11">
        <v>0</v>
      </c>
      <c r="J8" s="11">
        <v>0</v>
      </c>
      <c r="K8" s="11">
        <v>0</v>
      </c>
      <c r="L8" s="12">
        <v>0</v>
      </c>
      <c r="M8" s="12">
        <v>0</v>
      </c>
      <c r="N8" s="11">
        <v>0</v>
      </c>
      <c r="O8" s="12">
        <v>0</v>
      </c>
      <c r="P8" s="12">
        <v>0</v>
      </c>
      <c r="Q8" s="10">
        <v>0</v>
      </c>
      <c r="R8" s="9">
        <v>0</v>
      </c>
      <c r="S8" s="13">
        <v>0</v>
      </c>
      <c r="T8" s="10">
        <v>0</v>
      </c>
      <c r="U8" s="12">
        <v>0</v>
      </c>
      <c r="V8" s="12">
        <v>0</v>
      </c>
      <c r="W8" s="10">
        <v>0</v>
      </c>
      <c r="X8" s="12">
        <v>0</v>
      </c>
      <c r="Y8" s="4">
        <v>0</v>
      </c>
      <c r="Z8" s="12">
        <v>0</v>
      </c>
      <c r="AA8" s="4">
        <v>0</v>
      </c>
      <c r="AB8" s="12">
        <v>0</v>
      </c>
      <c r="AC8" s="12">
        <v>0</v>
      </c>
      <c r="AD8" s="12">
        <v>0</v>
      </c>
      <c r="AE8" s="12">
        <v>0</v>
      </c>
      <c r="AF8" s="11">
        <v>0</v>
      </c>
      <c r="AG8" s="11">
        <v>0</v>
      </c>
      <c r="AH8" s="12">
        <v>0</v>
      </c>
      <c r="AI8" s="14">
        <v>0</v>
      </c>
    </row>
    <row r="9" spans="2:36" x14ac:dyDescent="0.2">
      <c r="B9" s="8">
        <v>44682</v>
      </c>
      <c r="C9" s="4">
        <v>0</v>
      </c>
      <c r="D9" s="9">
        <v>0</v>
      </c>
      <c r="E9" s="12">
        <v>0</v>
      </c>
      <c r="F9" s="9">
        <v>0</v>
      </c>
      <c r="G9" s="10">
        <v>0</v>
      </c>
      <c r="H9" s="9">
        <v>0</v>
      </c>
      <c r="I9" s="11">
        <v>0</v>
      </c>
      <c r="J9" s="11">
        <v>0</v>
      </c>
      <c r="K9" s="11">
        <v>0</v>
      </c>
      <c r="L9" s="12">
        <v>0</v>
      </c>
      <c r="M9" s="12">
        <v>0</v>
      </c>
      <c r="N9" s="11">
        <v>0</v>
      </c>
      <c r="O9" s="12">
        <v>0</v>
      </c>
      <c r="P9" s="12">
        <v>0</v>
      </c>
      <c r="Q9" s="10">
        <v>0</v>
      </c>
      <c r="R9" s="9">
        <v>0</v>
      </c>
      <c r="S9" s="13">
        <v>0</v>
      </c>
      <c r="T9" s="10">
        <v>0</v>
      </c>
      <c r="U9" s="12">
        <v>0</v>
      </c>
      <c r="V9" s="12">
        <v>0</v>
      </c>
      <c r="W9" s="10">
        <v>0</v>
      </c>
      <c r="X9" s="12">
        <v>0</v>
      </c>
      <c r="Y9" s="4">
        <v>0</v>
      </c>
      <c r="Z9" s="12">
        <v>0</v>
      </c>
      <c r="AA9" s="4">
        <v>0</v>
      </c>
      <c r="AB9" s="12">
        <v>0</v>
      </c>
      <c r="AC9" s="12">
        <v>0</v>
      </c>
      <c r="AD9" s="12">
        <v>0</v>
      </c>
      <c r="AE9" s="12">
        <v>0</v>
      </c>
      <c r="AF9" s="11">
        <v>0</v>
      </c>
      <c r="AG9" s="11">
        <v>0</v>
      </c>
      <c r="AH9" s="12">
        <v>0</v>
      </c>
      <c r="AI9" s="14">
        <v>0</v>
      </c>
    </row>
    <row r="10" spans="2:36" x14ac:dyDescent="0.2">
      <c r="B10" s="8">
        <v>44713</v>
      </c>
      <c r="C10" s="4">
        <v>0</v>
      </c>
      <c r="D10" s="9">
        <v>0</v>
      </c>
      <c r="E10" s="12">
        <v>0</v>
      </c>
      <c r="F10" s="9">
        <v>0</v>
      </c>
      <c r="G10" s="10">
        <v>0</v>
      </c>
      <c r="H10" s="9">
        <v>0</v>
      </c>
      <c r="I10" s="11">
        <v>0</v>
      </c>
      <c r="J10" s="11">
        <v>0</v>
      </c>
      <c r="K10" s="11">
        <v>0</v>
      </c>
      <c r="L10" s="12">
        <v>0</v>
      </c>
      <c r="M10" s="12">
        <v>0</v>
      </c>
      <c r="N10" s="11">
        <v>0</v>
      </c>
      <c r="O10" s="12">
        <v>0</v>
      </c>
      <c r="P10" s="12">
        <v>0</v>
      </c>
      <c r="Q10" s="10">
        <v>0</v>
      </c>
      <c r="R10" s="9">
        <v>0</v>
      </c>
      <c r="S10" s="13">
        <v>0</v>
      </c>
      <c r="T10" s="10">
        <v>0</v>
      </c>
      <c r="U10" s="12">
        <v>0</v>
      </c>
      <c r="V10" s="12">
        <v>0</v>
      </c>
      <c r="W10" s="10">
        <v>0</v>
      </c>
      <c r="X10" s="12">
        <v>0</v>
      </c>
      <c r="Y10" s="4">
        <v>0</v>
      </c>
      <c r="Z10" s="12">
        <v>0</v>
      </c>
      <c r="AA10" s="4">
        <v>0</v>
      </c>
      <c r="AB10" s="12">
        <v>0</v>
      </c>
      <c r="AC10" s="12">
        <v>0</v>
      </c>
      <c r="AD10" s="12">
        <v>0</v>
      </c>
      <c r="AE10" s="12">
        <v>0</v>
      </c>
      <c r="AF10" s="11">
        <v>0</v>
      </c>
      <c r="AG10" s="11">
        <v>0</v>
      </c>
      <c r="AH10" s="12">
        <v>0</v>
      </c>
      <c r="AI10" s="14">
        <v>0</v>
      </c>
    </row>
    <row r="11" spans="2:36" x14ac:dyDescent="0.2">
      <c r="B11" s="8">
        <v>44743</v>
      </c>
      <c r="C11" s="4">
        <v>0</v>
      </c>
      <c r="D11" s="9">
        <v>0</v>
      </c>
      <c r="E11" s="12">
        <v>0</v>
      </c>
      <c r="F11" s="9">
        <v>0</v>
      </c>
      <c r="G11" s="10">
        <v>0</v>
      </c>
      <c r="H11" s="9">
        <v>0</v>
      </c>
      <c r="I11" s="11">
        <v>0</v>
      </c>
      <c r="J11" s="11">
        <v>0</v>
      </c>
      <c r="K11" s="11">
        <v>0</v>
      </c>
      <c r="L11" s="12">
        <v>0</v>
      </c>
      <c r="M11" s="12">
        <v>0</v>
      </c>
      <c r="N11" s="11">
        <v>0</v>
      </c>
      <c r="O11" s="12">
        <v>0</v>
      </c>
      <c r="P11" s="12">
        <v>0</v>
      </c>
      <c r="Q11" s="10">
        <v>0</v>
      </c>
      <c r="R11" s="9">
        <v>0</v>
      </c>
      <c r="S11" s="13">
        <v>0</v>
      </c>
      <c r="T11" s="10">
        <v>0</v>
      </c>
      <c r="U11" s="12">
        <v>0</v>
      </c>
      <c r="V11" s="12">
        <v>0</v>
      </c>
      <c r="W11" s="10">
        <v>0</v>
      </c>
      <c r="X11" s="12">
        <v>0</v>
      </c>
      <c r="Y11" s="4">
        <v>0</v>
      </c>
      <c r="Z11" s="12">
        <v>0</v>
      </c>
      <c r="AA11" s="4">
        <v>0</v>
      </c>
      <c r="AB11" s="12">
        <v>0</v>
      </c>
      <c r="AC11" s="12">
        <v>0</v>
      </c>
      <c r="AD11" s="12">
        <v>0</v>
      </c>
      <c r="AE11" s="12">
        <v>0</v>
      </c>
      <c r="AF11" s="11">
        <v>0</v>
      </c>
      <c r="AG11" s="11">
        <v>0</v>
      </c>
      <c r="AH11" s="12">
        <v>0</v>
      </c>
      <c r="AI11" s="14">
        <v>0</v>
      </c>
    </row>
    <row r="12" spans="2:36" x14ac:dyDescent="0.2">
      <c r="B12" s="8">
        <v>44774</v>
      </c>
      <c r="C12" s="4">
        <v>0</v>
      </c>
      <c r="D12" s="9">
        <v>0</v>
      </c>
      <c r="E12" s="12">
        <v>0</v>
      </c>
      <c r="F12" s="9">
        <v>0</v>
      </c>
      <c r="G12" s="10">
        <v>0</v>
      </c>
      <c r="H12" s="9">
        <v>0</v>
      </c>
      <c r="I12" s="11">
        <v>0</v>
      </c>
      <c r="J12" s="11">
        <v>0</v>
      </c>
      <c r="K12" s="11">
        <v>0</v>
      </c>
      <c r="L12" s="12">
        <v>0</v>
      </c>
      <c r="M12" s="12">
        <v>0</v>
      </c>
      <c r="N12" s="11">
        <v>0</v>
      </c>
      <c r="O12" s="12">
        <v>0</v>
      </c>
      <c r="P12" s="12">
        <v>0</v>
      </c>
      <c r="Q12" s="10">
        <v>0</v>
      </c>
      <c r="R12" s="9">
        <v>0</v>
      </c>
      <c r="S12" s="13">
        <v>0</v>
      </c>
      <c r="T12" s="10">
        <v>0</v>
      </c>
      <c r="U12" s="12">
        <v>0</v>
      </c>
      <c r="V12" s="12">
        <v>0</v>
      </c>
      <c r="W12" s="10">
        <v>0</v>
      </c>
      <c r="X12" s="12">
        <v>0</v>
      </c>
      <c r="Y12" s="4">
        <v>0</v>
      </c>
      <c r="Z12" s="12">
        <v>0</v>
      </c>
      <c r="AA12" s="4">
        <v>0</v>
      </c>
      <c r="AB12" s="12">
        <v>0</v>
      </c>
      <c r="AC12" s="12">
        <v>0</v>
      </c>
      <c r="AD12" s="12">
        <v>0</v>
      </c>
      <c r="AE12" s="12">
        <v>0</v>
      </c>
      <c r="AF12" s="11">
        <v>0</v>
      </c>
      <c r="AG12" s="11">
        <v>0</v>
      </c>
      <c r="AH12" s="12">
        <v>0</v>
      </c>
      <c r="AI12" s="14">
        <v>0</v>
      </c>
    </row>
    <row r="13" spans="2:36" x14ac:dyDescent="0.2">
      <c r="B13" s="8">
        <v>44805</v>
      </c>
      <c r="C13" s="4">
        <v>0</v>
      </c>
      <c r="D13" s="9">
        <v>0</v>
      </c>
      <c r="E13" s="12">
        <v>0</v>
      </c>
      <c r="F13" s="9">
        <v>0</v>
      </c>
      <c r="G13" s="10">
        <v>0</v>
      </c>
      <c r="H13" s="9">
        <v>0</v>
      </c>
      <c r="I13" s="11">
        <v>0</v>
      </c>
      <c r="J13" s="11">
        <v>0</v>
      </c>
      <c r="K13" s="11">
        <v>0</v>
      </c>
      <c r="L13" s="12">
        <v>0</v>
      </c>
      <c r="M13" s="12">
        <v>0</v>
      </c>
      <c r="N13" s="11">
        <v>0</v>
      </c>
      <c r="O13" s="12">
        <v>0</v>
      </c>
      <c r="P13" s="12">
        <v>0</v>
      </c>
      <c r="Q13" s="10">
        <v>0</v>
      </c>
      <c r="R13" s="9">
        <v>0</v>
      </c>
      <c r="S13" s="13">
        <v>0</v>
      </c>
      <c r="T13" s="10">
        <v>0</v>
      </c>
      <c r="U13" s="12">
        <v>0</v>
      </c>
      <c r="V13" s="12">
        <v>0</v>
      </c>
      <c r="W13" s="10">
        <v>0</v>
      </c>
      <c r="X13" s="12">
        <v>0</v>
      </c>
      <c r="Y13" s="4">
        <v>0</v>
      </c>
      <c r="Z13" s="12">
        <v>0</v>
      </c>
      <c r="AA13" s="4">
        <v>0</v>
      </c>
      <c r="AB13" s="12">
        <v>0</v>
      </c>
      <c r="AC13" s="12">
        <v>0</v>
      </c>
      <c r="AD13" s="12">
        <v>0</v>
      </c>
      <c r="AE13" s="12">
        <v>0</v>
      </c>
      <c r="AF13" s="11">
        <v>0</v>
      </c>
      <c r="AG13" s="11">
        <v>0</v>
      </c>
      <c r="AH13" s="12">
        <v>0</v>
      </c>
      <c r="AI13" s="14">
        <v>0</v>
      </c>
    </row>
    <row r="14" spans="2:36" x14ac:dyDescent="0.2">
      <c r="B14" s="8">
        <v>44835</v>
      </c>
      <c r="C14" s="4">
        <v>0</v>
      </c>
      <c r="D14" s="9">
        <v>0</v>
      </c>
      <c r="E14" s="12">
        <v>0</v>
      </c>
      <c r="F14" s="9">
        <v>0</v>
      </c>
      <c r="G14" s="10">
        <v>0</v>
      </c>
      <c r="H14" s="9">
        <v>0</v>
      </c>
      <c r="I14" s="11">
        <v>0</v>
      </c>
      <c r="J14" s="11">
        <v>0</v>
      </c>
      <c r="K14" s="11">
        <v>0</v>
      </c>
      <c r="L14" s="12">
        <v>0</v>
      </c>
      <c r="M14" s="12">
        <v>0</v>
      </c>
      <c r="N14" s="11">
        <v>0</v>
      </c>
      <c r="O14" s="12">
        <v>0</v>
      </c>
      <c r="P14" s="12">
        <v>0</v>
      </c>
      <c r="Q14" s="10">
        <v>0</v>
      </c>
      <c r="R14" s="9">
        <v>0</v>
      </c>
      <c r="S14" s="13">
        <v>0</v>
      </c>
      <c r="T14" s="10">
        <v>0</v>
      </c>
      <c r="U14" s="12">
        <v>0</v>
      </c>
      <c r="V14" s="12">
        <v>0</v>
      </c>
      <c r="W14" s="10">
        <v>0</v>
      </c>
      <c r="X14" s="12">
        <v>0</v>
      </c>
      <c r="Y14" s="4">
        <v>0</v>
      </c>
      <c r="Z14" s="12">
        <v>0</v>
      </c>
      <c r="AA14" s="4">
        <v>0</v>
      </c>
      <c r="AB14" s="12">
        <v>0</v>
      </c>
      <c r="AC14" s="12">
        <v>0</v>
      </c>
      <c r="AD14" s="12">
        <v>0</v>
      </c>
      <c r="AE14" s="12">
        <v>0</v>
      </c>
      <c r="AF14" s="11">
        <v>0</v>
      </c>
      <c r="AG14" s="11">
        <v>0</v>
      </c>
      <c r="AH14" s="12">
        <v>0</v>
      </c>
      <c r="AI14" s="14">
        <v>0</v>
      </c>
    </row>
    <row r="15" spans="2:36" x14ac:dyDescent="0.2">
      <c r="B15" s="8">
        <v>44866</v>
      </c>
      <c r="C15" s="4">
        <v>0</v>
      </c>
      <c r="D15" s="9">
        <v>0</v>
      </c>
      <c r="E15" s="12">
        <v>0</v>
      </c>
      <c r="F15" s="9">
        <v>0</v>
      </c>
      <c r="G15" s="10">
        <v>0</v>
      </c>
      <c r="H15" s="9">
        <v>0</v>
      </c>
      <c r="I15" s="11">
        <v>0</v>
      </c>
      <c r="J15" s="11">
        <v>0</v>
      </c>
      <c r="K15" s="11">
        <v>0</v>
      </c>
      <c r="L15" s="12">
        <v>0</v>
      </c>
      <c r="M15" s="12">
        <v>0</v>
      </c>
      <c r="N15" s="11">
        <v>0</v>
      </c>
      <c r="O15" s="12">
        <v>0</v>
      </c>
      <c r="P15" s="12">
        <v>0</v>
      </c>
      <c r="Q15" s="10">
        <v>0</v>
      </c>
      <c r="R15" s="9">
        <v>0</v>
      </c>
      <c r="S15" s="13">
        <v>0</v>
      </c>
      <c r="T15" s="10">
        <v>0</v>
      </c>
      <c r="U15" s="12">
        <v>0</v>
      </c>
      <c r="V15" s="12">
        <v>0</v>
      </c>
      <c r="W15" s="10">
        <v>0</v>
      </c>
      <c r="X15" s="12">
        <v>0</v>
      </c>
      <c r="Y15" s="4">
        <v>0</v>
      </c>
      <c r="Z15" s="12">
        <v>0</v>
      </c>
      <c r="AA15" s="4">
        <v>0</v>
      </c>
      <c r="AB15" s="12">
        <v>0</v>
      </c>
      <c r="AC15" s="12">
        <v>0</v>
      </c>
      <c r="AD15" s="12">
        <v>0</v>
      </c>
      <c r="AE15" s="12">
        <v>0</v>
      </c>
      <c r="AF15" s="11">
        <v>0</v>
      </c>
      <c r="AG15" s="11">
        <v>0</v>
      </c>
      <c r="AH15" s="12">
        <v>0</v>
      </c>
      <c r="AI15" s="14">
        <v>0</v>
      </c>
    </row>
    <row r="16" spans="2:36" x14ac:dyDescent="0.2">
      <c r="B16" s="8">
        <v>44896</v>
      </c>
      <c r="C16" s="4">
        <v>0</v>
      </c>
      <c r="D16" s="9">
        <v>0</v>
      </c>
      <c r="E16" s="12">
        <v>0</v>
      </c>
      <c r="F16" s="9">
        <v>0</v>
      </c>
      <c r="G16" s="10">
        <v>0</v>
      </c>
      <c r="H16" s="9">
        <v>0</v>
      </c>
      <c r="I16" s="11">
        <v>0</v>
      </c>
      <c r="J16" s="11">
        <v>0</v>
      </c>
      <c r="K16" s="11">
        <v>0</v>
      </c>
      <c r="L16" s="12">
        <v>0</v>
      </c>
      <c r="M16" s="12">
        <v>0</v>
      </c>
      <c r="N16" s="11">
        <v>0</v>
      </c>
      <c r="O16" s="12">
        <v>0</v>
      </c>
      <c r="P16" s="12">
        <v>0</v>
      </c>
      <c r="Q16" s="10">
        <v>0</v>
      </c>
      <c r="R16" s="9">
        <v>0</v>
      </c>
      <c r="S16" s="13">
        <v>0</v>
      </c>
      <c r="T16" s="10">
        <v>0</v>
      </c>
      <c r="U16" s="12">
        <v>0</v>
      </c>
      <c r="V16" s="12">
        <v>0</v>
      </c>
      <c r="W16" s="10">
        <v>0</v>
      </c>
      <c r="X16" s="12">
        <v>0</v>
      </c>
      <c r="Y16" s="4">
        <v>0</v>
      </c>
      <c r="Z16" s="12">
        <v>0</v>
      </c>
      <c r="AA16" s="4">
        <v>0</v>
      </c>
      <c r="AB16" s="12">
        <v>0</v>
      </c>
      <c r="AC16" s="12">
        <v>0</v>
      </c>
      <c r="AD16" s="12">
        <v>0</v>
      </c>
      <c r="AE16" s="12">
        <v>0</v>
      </c>
      <c r="AF16" s="11">
        <v>0</v>
      </c>
      <c r="AG16" s="11">
        <v>0</v>
      </c>
      <c r="AH16" s="12">
        <v>0</v>
      </c>
      <c r="AI16" s="14">
        <v>0</v>
      </c>
    </row>
    <row r="17" spans="2:48" x14ac:dyDescent="0.2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</row>
    <row r="18" spans="2:48" ht="25.5" x14ac:dyDescent="0.2">
      <c r="D18" s="17" t="s">
        <v>47</v>
      </c>
    </row>
    <row r="22" spans="2:48" ht="15" x14ac:dyDescent="0.25">
      <c r="B22"/>
      <c r="C22"/>
    </row>
    <row r="23" spans="2:48" ht="15" x14ac:dyDescent="0.25">
      <c r="B23"/>
      <c r="C23"/>
    </row>
    <row r="24" spans="2:48" ht="15" x14ac:dyDescent="0.25">
      <c r="B24"/>
      <c r="C24"/>
    </row>
    <row r="25" spans="2:48" ht="15" x14ac:dyDescent="0.25">
      <c r="B25"/>
      <c r="C25"/>
    </row>
    <row r="26" spans="2:48" ht="15" x14ac:dyDescent="0.25">
      <c r="B26"/>
      <c r="C26"/>
    </row>
    <row r="27" spans="2:48" ht="15" x14ac:dyDescent="0.25">
      <c r="B27"/>
      <c r="C27"/>
    </row>
    <row r="28" spans="2:48" ht="15" x14ac:dyDescent="0.25">
      <c r="B28"/>
      <c r="C28"/>
    </row>
    <row r="29" spans="2:48" ht="15" x14ac:dyDescent="0.25">
      <c r="B29"/>
      <c r="C29"/>
      <c r="AU29" s="2"/>
      <c r="AV29" s="2" t="s">
        <v>22</v>
      </c>
    </row>
    <row r="30" spans="2:48" ht="15" x14ac:dyDescent="0.25">
      <c r="B30"/>
      <c r="C30"/>
      <c r="AU30" s="3" t="s">
        <v>23</v>
      </c>
      <c r="AV30" s="3" t="s">
        <v>24</v>
      </c>
    </row>
    <row r="31" spans="2:48" ht="15" x14ac:dyDescent="0.25">
      <c r="B31"/>
      <c r="C31"/>
      <c r="AU31" s="4" t="s">
        <v>25</v>
      </c>
      <c r="AV31" s="4">
        <v>166</v>
      </c>
    </row>
    <row r="32" spans="2:48" ht="15" x14ac:dyDescent="0.25">
      <c r="B32"/>
      <c r="C32"/>
      <c r="AU32" s="4" t="s">
        <v>26</v>
      </c>
      <c r="AV32" s="4">
        <v>45</v>
      </c>
    </row>
    <row r="33" spans="2:48" ht="15" x14ac:dyDescent="0.25">
      <c r="B33"/>
      <c r="C33"/>
      <c r="AU33" s="4" t="s">
        <v>27</v>
      </c>
      <c r="AV33" s="4">
        <v>23</v>
      </c>
    </row>
    <row r="34" spans="2:48" x14ac:dyDescent="0.2">
      <c r="AU34" s="4" t="s">
        <v>28</v>
      </c>
      <c r="AV34" s="4">
        <v>19</v>
      </c>
    </row>
    <row r="35" spans="2:48" x14ac:dyDescent="0.2">
      <c r="AU35" s="4" t="s">
        <v>29</v>
      </c>
      <c r="AV35" s="4">
        <v>32</v>
      </c>
    </row>
    <row r="36" spans="2:48" x14ac:dyDescent="0.2">
      <c r="AU36" s="4" t="s">
        <v>30</v>
      </c>
      <c r="AV36" s="4">
        <v>21</v>
      </c>
    </row>
    <row r="37" spans="2:48" x14ac:dyDescent="0.2">
      <c r="AU37" s="4" t="s">
        <v>31</v>
      </c>
      <c r="AV37" s="4">
        <v>32</v>
      </c>
    </row>
    <row r="38" spans="2:48" x14ac:dyDescent="0.2">
      <c r="AU38" s="4" t="s">
        <v>32</v>
      </c>
      <c r="AV38" s="4">
        <v>24</v>
      </c>
    </row>
    <row r="39" spans="2:48" x14ac:dyDescent="0.2">
      <c r="AU39" s="5" t="s">
        <v>33</v>
      </c>
      <c r="AV39" s="4">
        <v>117</v>
      </c>
    </row>
    <row r="40" spans="2:48" x14ac:dyDescent="0.2">
      <c r="AU40" s="4" t="s">
        <v>34</v>
      </c>
      <c r="AV40" s="4">
        <f>SUM(AV31:AV39)</f>
        <v>479</v>
      </c>
    </row>
    <row r="41" spans="2:48" x14ac:dyDescent="0.2">
      <c r="AU41" s="4" t="s">
        <v>35</v>
      </c>
      <c r="AV41" s="6" t="s">
        <v>36</v>
      </c>
    </row>
    <row r="42" spans="2:48" x14ac:dyDescent="0.2">
      <c r="AU42" s="5" t="s">
        <v>33</v>
      </c>
      <c r="AV42" s="4">
        <v>117</v>
      </c>
    </row>
    <row r="43" spans="2:48" x14ac:dyDescent="0.2">
      <c r="AU43" s="4" t="s">
        <v>37</v>
      </c>
      <c r="AV43" s="4">
        <v>211</v>
      </c>
    </row>
    <row r="44" spans="2:48" x14ac:dyDescent="0.2">
      <c r="AU44" s="4" t="s">
        <v>38</v>
      </c>
      <c r="AV44" s="4">
        <v>127</v>
      </c>
    </row>
    <row r="45" spans="2:48" x14ac:dyDescent="0.2">
      <c r="AU45" s="4" t="s">
        <v>32</v>
      </c>
      <c r="AV45" s="4">
        <v>24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30D9B-AFCD-4EF4-8D1E-C9263ACD27DF}">
  <sheetPr codeName="Sheet31">
    <tabColor rgb="FFFFFF00"/>
  </sheetPr>
  <dimension ref="B1:AV45"/>
  <sheetViews>
    <sheetView zoomScale="80" zoomScaleNormal="80" workbookViewId="0"/>
  </sheetViews>
  <sheetFormatPr defaultRowHeight="12.75" x14ac:dyDescent="0.2"/>
  <cols>
    <col min="1" max="1" width="9.140625" style="4"/>
    <col min="2" max="2" width="9.85546875" style="4" customWidth="1"/>
    <col min="3" max="3" width="10.140625" style="4" customWidth="1"/>
    <col min="4" max="4" width="14.42578125" style="4" customWidth="1"/>
    <col min="5" max="5" width="13.42578125" style="4" bestFit="1" customWidth="1"/>
    <col min="6" max="6" width="15.28515625" style="4" customWidth="1"/>
    <col min="7" max="7" width="13.42578125" style="4" bestFit="1" customWidth="1"/>
    <col min="8" max="9" width="13.85546875" style="4" customWidth="1"/>
    <col min="10" max="10" width="14.85546875" style="4" customWidth="1"/>
    <col min="11" max="11" width="10" style="4" customWidth="1"/>
    <col min="12" max="12" width="12" style="4" customWidth="1"/>
    <col min="13" max="13" width="15.42578125" style="4" bestFit="1" customWidth="1"/>
    <col min="14" max="14" width="19.140625" style="4" bestFit="1" customWidth="1"/>
    <col min="15" max="15" width="13.140625" style="4" customWidth="1"/>
    <col min="16" max="16" width="15.42578125" style="4" bestFit="1" customWidth="1"/>
    <col min="17" max="17" width="14" style="4" customWidth="1"/>
    <col min="18" max="18" width="17.85546875" style="4" customWidth="1"/>
    <col min="19" max="19" width="10.5703125" style="4" customWidth="1"/>
    <col min="20" max="20" width="14.140625" style="4" customWidth="1"/>
    <col min="21" max="21" width="8.7109375" style="4" customWidth="1"/>
    <col min="22" max="22" width="10.42578125" style="4" customWidth="1"/>
    <col min="23" max="23" width="9.42578125" style="4" customWidth="1"/>
    <col min="24" max="24" width="10.42578125" style="4" customWidth="1"/>
    <col min="25" max="25" width="10.7109375" style="4" customWidth="1"/>
    <col min="26" max="26" width="13" style="4" bestFit="1" customWidth="1"/>
    <col min="27" max="27" width="12.42578125" style="4" bestFit="1" customWidth="1"/>
    <col min="28" max="28" width="15.85546875" style="4" bestFit="1" customWidth="1"/>
    <col min="29" max="29" width="11" style="4" customWidth="1"/>
    <col min="30" max="30" width="8" style="4" customWidth="1"/>
    <col min="31" max="31" width="11.140625" style="4" customWidth="1"/>
    <col min="32" max="32" width="11.5703125" style="4" customWidth="1"/>
    <col min="33" max="33" width="12.42578125" style="4" customWidth="1"/>
    <col min="34" max="34" width="15.7109375" style="4" bestFit="1" customWidth="1"/>
    <col min="35" max="35" width="10.85546875" style="4" customWidth="1"/>
    <col min="36" max="36" width="16.7109375" style="4" customWidth="1"/>
    <col min="37" max="46" width="0" style="4" hidden="1" customWidth="1"/>
    <col min="47" max="47" width="19.42578125" style="4" bestFit="1" customWidth="1"/>
    <col min="48" max="48" width="14.7109375" style="4" bestFit="1" customWidth="1"/>
    <col min="49" max="16384" width="9.140625" style="4"/>
  </cols>
  <sheetData>
    <row r="1" spans="2:36" ht="25.5" x14ac:dyDescent="0.35">
      <c r="B1" s="7" t="s">
        <v>46</v>
      </c>
    </row>
    <row r="4" spans="2:36" ht="38.25" x14ac:dyDescent="0.2">
      <c r="B4" s="15" t="s">
        <v>0</v>
      </c>
      <c r="C4" s="15" t="s">
        <v>48</v>
      </c>
      <c r="D4" s="15" t="s">
        <v>1</v>
      </c>
      <c r="E4" s="16" t="s">
        <v>2</v>
      </c>
      <c r="F4" s="15" t="s">
        <v>3</v>
      </c>
      <c r="G4" s="15" t="s">
        <v>4</v>
      </c>
      <c r="H4" s="15" t="s">
        <v>5</v>
      </c>
      <c r="I4" s="15" t="s">
        <v>6</v>
      </c>
      <c r="J4" s="15" t="s">
        <v>39</v>
      </c>
      <c r="K4" s="15" t="s">
        <v>40</v>
      </c>
      <c r="L4" s="15" t="s">
        <v>42</v>
      </c>
      <c r="M4" s="15" t="s">
        <v>7</v>
      </c>
      <c r="N4" s="15" t="s">
        <v>8</v>
      </c>
      <c r="O4" s="15" t="s">
        <v>9</v>
      </c>
      <c r="P4" s="15" t="s">
        <v>10</v>
      </c>
      <c r="Q4" s="15" t="s">
        <v>11</v>
      </c>
      <c r="R4" s="15" t="s">
        <v>12</v>
      </c>
      <c r="S4" s="15" t="s">
        <v>13</v>
      </c>
      <c r="T4" s="15" t="s">
        <v>53</v>
      </c>
      <c r="U4" s="15" t="s">
        <v>43</v>
      </c>
      <c r="V4" s="15" t="s">
        <v>44</v>
      </c>
      <c r="W4" s="15" t="s">
        <v>45</v>
      </c>
      <c r="X4" s="15" t="s">
        <v>49</v>
      </c>
      <c r="Y4" s="15" t="s">
        <v>50</v>
      </c>
      <c r="Z4" s="15" t="s">
        <v>52</v>
      </c>
      <c r="AA4" s="15" t="s">
        <v>51</v>
      </c>
      <c r="AB4" s="15" t="s">
        <v>54</v>
      </c>
      <c r="AC4" s="15" t="s">
        <v>41</v>
      </c>
      <c r="AD4" s="15" t="s">
        <v>14</v>
      </c>
      <c r="AE4" s="15" t="s">
        <v>15</v>
      </c>
      <c r="AF4" s="15" t="s">
        <v>16</v>
      </c>
      <c r="AG4" s="15" t="s">
        <v>17</v>
      </c>
      <c r="AH4" s="15" t="s">
        <v>18</v>
      </c>
      <c r="AI4" s="16" t="s">
        <v>19</v>
      </c>
      <c r="AJ4" s="16" t="s">
        <v>20</v>
      </c>
    </row>
    <row r="5" spans="2:36" x14ac:dyDescent="0.2">
      <c r="B5" s="8">
        <v>44562</v>
      </c>
      <c r="C5" s="4">
        <v>433</v>
      </c>
      <c r="D5" s="9">
        <v>0</v>
      </c>
      <c r="E5" s="12">
        <v>47592.65</v>
      </c>
      <c r="F5" s="9">
        <v>0</v>
      </c>
      <c r="G5" s="10">
        <v>175781.09999999998</v>
      </c>
      <c r="H5" s="9">
        <v>0</v>
      </c>
      <c r="I5" s="11">
        <v>109.91374133949192</v>
      </c>
      <c r="J5" s="11" t="s">
        <v>21</v>
      </c>
      <c r="K5" s="11" t="s">
        <v>21</v>
      </c>
      <c r="L5" s="12">
        <v>0</v>
      </c>
      <c r="M5" s="12">
        <v>0</v>
      </c>
      <c r="N5" s="11">
        <v>2056.75</v>
      </c>
      <c r="O5" s="12">
        <v>-2056.75</v>
      </c>
      <c r="P5" s="12">
        <v>-2056.75</v>
      </c>
      <c r="Q5" s="10">
        <v>175781.09999999998</v>
      </c>
      <c r="R5" s="9">
        <v>0</v>
      </c>
      <c r="S5" s="13">
        <v>0.27074952881737574</v>
      </c>
      <c r="T5" s="10">
        <v>119388.20000000001</v>
      </c>
      <c r="U5" s="12">
        <v>23065.81</v>
      </c>
      <c r="V5" s="12">
        <v>16511.370000000003</v>
      </c>
      <c r="W5" s="10">
        <v>80992.900000000009</v>
      </c>
      <c r="X5" s="12">
        <v>206.82</v>
      </c>
      <c r="Y5" s="4">
        <v>3323.5</v>
      </c>
      <c r="Z5" s="12">
        <v>43.69</v>
      </c>
      <c r="AA5" s="4">
        <v>51</v>
      </c>
      <c r="AB5" s="12">
        <v>160.38</v>
      </c>
      <c r="AC5" s="12">
        <v>23065.81</v>
      </c>
      <c r="AD5" s="12">
        <v>24526.84</v>
      </c>
      <c r="AE5" s="12">
        <v>11792.212500000001</v>
      </c>
      <c r="AF5" s="11">
        <v>0.27074952881737574</v>
      </c>
      <c r="AG5" s="11">
        <v>0.17734825166169074</v>
      </c>
      <c r="AH5" s="12">
        <v>47592.65</v>
      </c>
      <c r="AI5" s="14">
        <v>5.5089763823468363E-2</v>
      </c>
    </row>
    <row r="6" spans="2:36" x14ac:dyDescent="0.2">
      <c r="B6" s="8">
        <v>44593</v>
      </c>
      <c r="C6" s="4">
        <v>453</v>
      </c>
      <c r="D6" s="9">
        <v>4.6189376443418015E-2</v>
      </c>
      <c r="E6" s="12">
        <v>55504.799999999996</v>
      </c>
      <c r="F6" s="9">
        <v>0.14254893270491911</v>
      </c>
      <c r="G6" s="10">
        <v>193710.6</v>
      </c>
      <c r="H6" s="9">
        <v>9.2558176991863264E-2</v>
      </c>
      <c r="I6" s="11">
        <v>122.52715231788079</v>
      </c>
      <c r="J6" s="11" t="s">
        <v>21</v>
      </c>
      <c r="K6" s="11" t="s">
        <v>21</v>
      </c>
      <c r="L6" s="12">
        <v>0</v>
      </c>
      <c r="M6" s="12">
        <v>0</v>
      </c>
      <c r="N6" s="11">
        <v>2151.75</v>
      </c>
      <c r="O6" s="12">
        <v>-2151.75</v>
      </c>
      <c r="P6" s="12">
        <v>-4208.5</v>
      </c>
      <c r="Q6" s="10">
        <v>193710.6</v>
      </c>
      <c r="R6" s="9">
        <v>9.2558176991863264E-2</v>
      </c>
      <c r="S6" s="13">
        <v>0.28653465530538852</v>
      </c>
      <c r="T6" s="10">
        <v>120889.1</v>
      </c>
      <c r="U6" s="12">
        <v>24400.789999999997</v>
      </c>
      <c r="V6" s="12">
        <v>21731.660000000003</v>
      </c>
      <c r="W6" s="10">
        <v>99193.599999999991</v>
      </c>
      <c r="X6" s="12">
        <v>248.88</v>
      </c>
      <c r="Y6" s="4">
        <v>2166.6000000000004</v>
      </c>
      <c r="Z6" s="12">
        <v>129.79</v>
      </c>
      <c r="AA6" s="4">
        <v>151</v>
      </c>
      <c r="AB6" s="12">
        <v>431.65999999999997</v>
      </c>
      <c r="AC6" s="12">
        <v>24400.789999999997</v>
      </c>
      <c r="AD6" s="12">
        <v>31104.01</v>
      </c>
      <c r="AE6" s="12">
        <v>11792.212500000001</v>
      </c>
      <c r="AF6" s="11">
        <v>0.28653465530538852</v>
      </c>
      <c r="AG6" s="11">
        <v>0.17734825166169074</v>
      </c>
      <c r="AH6" s="12">
        <v>103097.45</v>
      </c>
      <c r="AI6" s="14">
        <v>0</v>
      </c>
    </row>
    <row r="7" spans="2:36" x14ac:dyDescent="0.2">
      <c r="B7" s="8">
        <v>44621</v>
      </c>
      <c r="C7" s="4">
        <v>460</v>
      </c>
      <c r="D7" s="9">
        <v>6.2355658198614321E-2</v>
      </c>
      <c r="E7" s="12">
        <v>32682.210000000003</v>
      </c>
      <c r="F7" s="9">
        <v>-0.69831844296943169</v>
      </c>
      <c r="G7" s="10">
        <v>213493.3</v>
      </c>
      <c r="H7" s="9">
        <v>9.266192428521168E-2</v>
      </c>
      <c r="I7" s="11">
        <v>71.048282608695658</v>
      </c>
      <c r="J7" s="11">
        <v>3.0007153036216749</v>
      </c>
      <c r="K7" s="11" t="s">
        <v>21</v>
      </c>
      <c r="L7" s="12">
        <v>28491.019125509898</v>
      </c>
      <c r="M7" s="12">
        <v>28491.019125509898</v>
      </c>
      <c r="N7" s="11">
        <v>2185</v>
      </c>
      <c r="O7" s="12">
        <v>26306.019125509898</v>
      </c>
      <c r="P7" s="12">
        <v>22097.519125509898</v>
      </c>
      <c r="Q7" s="10">
        <v>213493.3</v>
      </c>
      <c r="R7" s="9">
        <v>9.266192428521168E-2</v>
      </c>
      <c r="S7" s="13">
        <v>0.15308307099098661</v>
      </c>
      <c r="T7" s="10">
        <v>124663.9</v>
      </c>
      <c r="U7" s="12">
        <v>24654.67</v>
      </c>
      <c r="V7" s="12">
        <v>1807.5199999999998</v>
      </c>
      <c r="W7" s="10">
        <v>65513.900000000009</v>
      </c>
      <c r="X7" s="12">
        <v>210.34</v>
      </c>
      <c r="Y7" s="4">
        <v>761.90000000000009</v>
      </c>
      <c r="Z7" s="12">
        <v>254.7</v>
      </c>
      <c r="AA7" s="4">
        <v>308</v>
      </c>
      <c r="AB7" s="12">
        <v>100.72</v>
      </c>
      <c r="AC7" s="12">
        <v>24654.67</v>
      </c>
      <c r="AD7" s="12">
        <v>8027.5400000000045</v>
      </c>
      <c r="AE7" s="12">
        <v>11792.212500000001</v>
      </c>
      <c r="AF7" s="11">
        <v>0.15308307099098661</v>
      </c>
      <c r="AG7" s="11">
        <v>0.17734825166169074</v>
      </c>
      <c r="AH7" s="12">
        <v>135779.66</v>
      </c>
      <c r="AI7" s="14">
        <v>0.46574325947473705</v>
      </c>
    </row>
    <row r="8" spans="2:36" x14ac:dyDescent="0.2">
      <c r="B8" s="8">
        <v>44652</v>
      </c>
      <c r="C8" s="4">
        <v>479</v>
      </c>
      <c r="D8" s="9">
        <v>3.9665970772442591E-2</v>
      </c>
      <c r="E8" s="12">
        <v>35469.47</v>
      </c>
      <c r="F8" s="9">
        <v>7.8581946671320388E-2</v>
      </c>
      <c r="G8" s="10">
        <v>215067.40000000002</v>
      </c>
      <c r="H8" s="9">
        <v>7.3191008958123586E-3</v>
      </c>
      <c r="I8" s="11">
        <v>74.048997912317333</v>
      </c>
      <c r="J8" s="11">
        <v>0</v>
      </c>
      <c r="K8" s="11" t="s">
        <v>21</v>
      </c>
      <c r="L8" s="12">
        <v>26154.793326426123</v>
      </c>
      <c r="M8" s="12">
        <v>54645.812451936021</v>
      </c>
      <c r="N8" s="11">
        <v>2275.25</v>
      </c>
      <c r="O8" s="12">
        <v>23879.543326426123</v>
      </c>
      <c r="P8" s="12">
        <v>45977.062451936021</v>
      </c>
      <c r="Q8" s="10">
        <v>215067.40000000002</v>
      </c>
      <c r="R8" s="9">
        <v>7.3191008958123586E-3</v>
      </c>
      <c r="S8" s="13">
        <v>0.16492257775934427</v>
      </c>
      <c r="T8" s="10">
        <v>130723.9</v>
      </c>
      <c r="U8" s="12">
        <v>25685.399999999998</v>
      </c>
      <c r="V8" s="12">
        <v>2017.85</v>
      </c>
      <c r="W8" s="10">
        <v>127645.10000000002</v>
      </c>
      <c r="X8" s="12">
        <v>155.46999999999997</v>
      </c>
      <c r="Y8" s="4">
        <v>620.5</v>
      </c>
      <c r="Z8" s="12">
        <v>210.09</v>
      </c>
      <c r="AA8" s="4">
        <v>256</v>
      </c>
      <c r="AB8" s="12">
        <v>124.77</v>
      </c>
      <c r="AC8" s="12">
        <v>25685.399999999998</v>
      </c>
      <c r="AD8" s="12">
        <v>9784.0700000000033</v>
      </c>
      <c r="AE8" s="12">
        <v>11792.212500000001</v>
      </c>
      <c r="AF8" s="11">
        <v>0.16492257775934427</v>
      </c>
      <c r="AG8" s="11">
        <v>0.17734825166169074</v>
      </c>
      <c r="AH8" s="12">
        <v>171249.13</v>
      </c>
      <c r="AI8" s="14">
        <v>0.42442362658167876</v>
      </c>
    </row>
    <row r="9" spans="2:36" x14ac:dyDescent="0.2">
      <c r="B9" s="8">
        <v>44682</v>
      </c>
      <c r="C9" s="4">
        <v>480</v>
      </c>
      <c r="D9" s="9">
        <v>2.0833333333333333E-3</v>
      </c>
      <c r="E9" s="12">
        <v>36712.839999999997</v>
      </c>
      <c r="F9" s="9">
        <v>3.3867442562329569E-2</v>
      </c>
      <c r="G9" s="10">
        <v>241373.4</v>
      </c>
      <c r="H9" s="9">
        <v>0.10898466856745595</v>
      </c>
      <c r="I9" s="11">
        <v>76.485083333333321</v>
      </c>
      <c r="J9" s="11">
        <v>-2.4360854210159886</v>
      </c>
      <c r="K9" s="11">
        <v>51.481717391304343</v>
      </c>
      <c r="L9" s="12">
        <v>32449.003968889665</v>
      </c>
      <c r="M9" s="12">
        <v>87094.816420825693</v>
      </c>
      <c r="N9" s="11">
        <v>2280</v>
      </c>
      <c r="O9" s="12">
        <v>30169.003968889665</v>
      </c>
      <c r="P9" s="12">
        <v>76146.066420825693</v>
      </c>
      <c r="Q9" s="10">
        <v>241373.4</v>
      </c>
      <c r="R9" s="9">
        <v>0.10898466856745595</v>
      </c>
      <c r="S9" s="13">
        <v>0.15209977570022212</v>
      </c>
      <c r="T9" s="10">
        <v>135507.9</v>
      </c>
      <c r="U9" s="12">
        <v>25642.63</v>
      </c>
      <c r="V9" s="12">
        <v>4456.3499999999995</v>
      </c>
      <c r="W9" s="10">
        <v>151008</v>
      </c>
      <c r="X9" s="12">
        <v>136.47999999999999</v>
      </c>
      <c r="Y9" s="4">
        <v>434.7</v>
      </c>
      <c r="Z9" s="12">
        <v>98.13</v>
      </c>
      <c r="AA9" s="4">
        <v>127</v>
      </c>
      <c r="AB9" s="12">
        <v>42.36</v>
      </c>
      <c r="AC9" s="12">
        <v>25642.63</v>
      </c>
      <c r="AD9" s="12">
        <v>11070.209999999995</v>
      </c>
      <c r="AE9" s="12">
        <v>11792.212500000001</v>
      </c>
      <c r="AF9" s="11">
        <v>0.15209977570022212</v>
      </c>
      <c r="AG9" s="11">
        <v>0.17734825166169074</v>
      </c>
      <c r="AH9" s="12">
        <v>207961.97</v>
      </c>
      <c r="AI9" s="14">
        <v>0.46917493963124896</v>
      </c>
    </row>
    <row r="10" spans="2:36" x14ac:dyDescent="0.2">
      <c r="B10" s="8">
        <v>44713</v>
      </c>
      <c r="C10" s="4">
        <v>478</v>
      </c>
      <c r="D10" s="9">
        <v>-4.1841004184100415E-3</v>
      </c>
      <c r="E10" s="12">
        <v>35893.999999999993</v>
      </c>
      <c r="F10" s="9">
        <v>-2.2812726360951802E-2</v>
      </c>
      <c r="G10" s="10">
        <v>240571</v>
      </c>
      <c r="H10" s="9">
        <v>-3.3353978659106634E-3</v>
      </c>
      <c r="I10" s="11">
        <v>75.092050209204999</v>
      </c>
      <c r="J10" s="11">
        <v>-1.0430522968876659</v>
      </c>
      <c r="K10" s="11">
        <v>48.481002087682668</v>
      </c>
      <c r="L10" s="12">
        <v>33037.928561472632</v>
      </c>
      <c r="M10" s="12">
        <v>120132.74498229832</v>
      </c>
      <c r="N10" s="11">
        <v>2270.5</v>
      </c>
      <c r="O10" s="12">
        <v>30767.428561472632</v>
      </c>
      <c r="P10" s="12">
        <v>106913.49498229832</v>
      </c>
      <c r="Q10" s="10">
        <v>240571</v>
      </c>
      <c r="R10" s="9">
        <v>-3.3353978659106634E-3</v>
      </c>
      <c r="S10" s="13">
        <v>0.1492033536876847</v>
      </c>
      <c r="T10" s="10">
        <v>125551.4</v>
      </c>
      <c r="U10" s="12">
        <v>25534.27</v>
      </c>
      <c r="V10" s="12">
        <v>3889.6599999999994</v>
      </c>
      <c r="W10" s="10">
        <v>90836.5</v>
      </c>
      <c r="X10" s="12">
        <v>139.16</v>
      </c>
      <c r="Y10" s="4">
        <v>547.9</v>
      </c>
      <c r="Z10" s="12">
        <v>105.21</v>
      </c>
      <c r="AA10" s="4">
        <v>137</v>
      </c>
      <c r="AB10" s="12">
        <v>130.44</v>
      </c>
      <c r="AC10" s="12">
        <v>25534.27</v>
      </c>
      <c r="AD10" s="12">
        <v>10359.729999999992</v>
      </c>
      <c r="AE10" s="12">
        <v>11792.212500000001</v>
      </c>
      <c r="AF10" s="11">
        <v>0.1492033536876847</v>
      </c>
      <c r="AG10" s="11">
        <v>0.17734825166169074</v>
      </c>
      <c r="AH10" s="12">
        <v>243855.97</v>
      </c>
      <c r="AI10" s="14">
        <v>0.47928339233987666</v>
      </c>
    </row>
    <row r="11" spans="2:36" x14ac:dyDescent="0.2">
      <c r="B11" s="8">
        <v>44743</v>
      </c>
      <c r="C11" s="4">
        <v>489</v>
      </c>
      <c r="D11" s="9">
        <v>2.2494887525562373E-2</v>
      </c>
      <c r="E11" s="12">
        <v>32710.1</v>
      </c>
      <c r="F11" s="9">
        <v>-9.7336908172093464E-2</v>
      </c>
      <c r="G11" s="10">
        <v>202948.2</v>
      </c>
      <c r="H11" s="9">
        <v>-0.18538129434013204</v>
      </c>
      <c r="I11" s="11">
        <v>66.891820040899788</v>
      </c>
      <c r="J11" s="11">
        <v>7.1571778714175451</v>
      </c>
      <c r="K11" s="11">
        <v>46.04491666666668</v>
      </c>
      <c r="L11" s="12">
        <v>25441.592531849055</v>
      </c>
      <c r="M11" s="12">
        <v>145574.33751414737</v>
      </c>
      <c r="N11" s="11">
        <v>2322.75</v>
      </c>
      <c r="O11" s="12">
        <v>23118.842531849055</v>
      </c>
      <c r="P11" s="12">
        <v>130032.33751414737</v>
      </c>
      <c r="Q11" s="10">
        <v>202948.2</v>
      </c>
      <c r="R11" s="9">
        <v>-0.18538129434013204</v>
      </c>
      <c r="S11" s="13">
        <v>0.16117462485501224</v>
      </c>
      <c r="T11" s="10">
        <v>97315.1</v>
      </c>
      <c r="U11" s="12">
        <v>25922.21</v>
      </c>
      <c r="V11" s="12">
        <v>541.5</v>
      </c>
      <c r="W11" s="10">
        <v>57950</v>
      </c>
      <c r="X11" s="12">
        <v>170.73999999999998</v>
      </c>
      <c r="Y11" s="4">
        <v>721.7</v>
      </c>
      <c r="Z11" s="12">
        <v>70.240000000000009</v>
      </c>
      <c r="AA11" s="4">
        <v>93</v>
      </c>
      <c r="AB11" s="12">
        <v>60.64</v>
      </c>
      <c r="AC11" s="12">
        <v>25922.21</v>
      </c>
      <c r="AD11" s="12">
        <v>6787.8899999999994</v>
      </c>
      <c r="AE11" s="12">
        <v>11792.212500000001</v>
      </c>
      <c r="AF11" s="11">
        <v>0.16117462485501224</v>
      </c>
      <c r="AG11" s="11">
        <v>0.17734825166169074</v>
      </c>
      <c r="AH11" s="12">
        <v>276566.07</v>
      </c>
      <c r="AI11" s="14">
        <v>0.43750390442917841</v>
      </c>
    </row>
    <row r="12" spans="2:36" x14ac:dyDescent="0.2">
      <c r="B12" s="8">
        <v>44774</v>
      </c>
      <c r="C12" s="4">
        <v>489</v>
      </c>
      <c r="D12" s="9">
        <v>0</v>
      </c>
      <c r="E12" s="12">
        <v>33676.65</v>
      </c>
      <c r="F12" s="9">
        <v>2.8700895130602446E-2</v>
      </c>
      <c r="G12" s="10">
        <v>216164.60000000003</v>
      </c>
      <c r="H12" s="9">
        <v>6.1140445752912463E-2</v>
      </c>
      <c r="I12" s="11">
        <v>68.86840490797546</v>
      </c>
      <c r="J12" s="11">
        <v>5.1805930043418726</v>
      </c>
      <c r="K12" s="11">
        <v>47.437949790795003</v>
      </c>
      <c r="L12" s="12">
        <v>28261.999150227195</v>
      </c>
      <c r="M12" s="12">
        <v>173836.33666437457</v>
      </c>
      <c r="N12" s="11">
        <v>2322.75</v>
      </c>
      <c r="O12" s="12">
        <v>25939.249150227195</v>
      </c>
      <c r="P12" s="12">
        <v>155971.58666437457</v>
      </c>
      <c r="Q12" s="10">
        <v>216164.60000000003</v>
      </c>
      <c r="R12" s="9">
        <v>6.1140445752912463E-2</v>
      </c>
      <c r="S12" s="13">
        <v>0.15579169762301504</v>
      </c>
      <c r="T12" s="10">
        <v>119513.60000000001</v>
      </c>
      <c r="U12" s="12">
        <v>25540.820000000003</v>
      </c>
      <c r="V12" s="12">
        <v>2130.8100000000004</v>
      </c>
      <c r="W12" s="10">
        <v>77846</v>
      </c>
      <c r="X12" s="12">
        <v>107.52</v>
      </c>
      <c r="Y12" s="4">
        <v>565</v>
      </c>
      <c r="Z12" s="12">
        <v>108.91999999999999</v>
      </c>
      <c r="AA12" s="4">
        <v>142</v>
      </c>
      <c r="AB12" s="12">
        <v>4.07</v>
      </c>
      <c r="AC12" s="12">
        <v>25540.820000000003</v>
      </c>
      <c r="AD12" s="12">
        <v>8135.8299999999981</v>
      </c>
      <c r="AE12" s="12">
        <v>11792.212500000001</v>
      </c>
      <c r="AF12" s="11">
        <v>0.15579169762301504</v>
      </c>
      <c r="AG12" s="11">
        <v>0.17734825166169074</v>
      </c>
      <c r="AH12" s="12">
        <v>310242.72000000003</v>
      </c>
      <c r="AI12" s="14">
        <v>0.45629020874639997</v>
      </c>
    </row>
    <row r="13" spans="2:36" x14ac:dyDescent="0.2">
      <c r="B13" s="8">
        <v>44805</v>
      </c>
      <c r="C13" s="4">
        <v>491</v>
      </c>
      <c r="D13" s="9">
        <v>4.0733197556008143E-3</v>
      </c>
      <c r="E13" s="12">
        <v>32969.08</v>
      </c>
      <c r="F13" s="9">
        <v>-2.1461624042891085E-2</v>
      </c>
      <c r="G13" s="10">
        <v>204332.3</v>
      </c>
      <c r="H13" s="9">
        <v>-5.7907144391758168E-2</v>
      </c>
      <c r="I13" s="11">
        <v>67.146802443991859</v>
      </c>
      <c r="J13" s="11">
        <v>6.9021954683254734</v>
      </c>
      <c r="K13" s="11">
        <v>55.638179959100214</v>
      </c>
      <c r="L13" s="12">
        <v>25579.205148257235</v>
      </c>
      <c r="M13" s="12">
        <v>199415.5418126318</v>
      </c>
      <c r="N13" s="11">
        <v>2332.25</v>
      </c>
      <c r="O13" s="12">
        <v>23246.955148257235</v>
      </c>
      <c r="P13" s="12">
        <v>179218.5418126318</v>
      </c>
      <c r="Q13" s="10">
        <v>204332.3</v>
      </c>
      <c r="R13" s="9">
        <v>-5.7907144391758168E-2</v>
      </c>
      <c r="S13" s="13">
        <v>0.16135031025442381</v>
      </c>
      <c r="T13" s="10">
        <v>118902.19999999998</v>
      </c>
      <c r="U13" s="12">
        <v>25536.399999999998</v>
      </c>
      <c r="V13" s="12">
        <v>334.75</v>
      </c>
      <c r="W13" s="10">
        <v>66381.7</v>
      </c>
      <c r="X13" s="12">
        <v>87.32</v>
      </c>
      <c r="Y13" s="4">
        <v>401</v>
      </c>
      <c r="Z13" s="12">
        <v>101.28</v>
      </c>
      <c r="AA13" s="4">
        <v>140</v>
      </c>
      <c r="AB13" s="12">
        <v>176.73</v>
      </c>
      <c r="AC13" s="12">
        <v>25536.399999999998</v>
      </c>
      <c r="AD13" s="12">
        <v>7432.6800000000039</v>
      </c>
      <c r="AE13" s="12">
        <v>11792.212500000001</v>
      </c>
      <c r="AF13" s="11">
        <v>0.16135031025442381</v>
      </c>
      <c r="AG13" s="11">
        <v>0.17734825166169074</v>
      </c>
      <c r="AH13" s="12">
        <v>343211.80000000005</v>
      </c>
      <c r="AI13" s="14">
        <v>0.43689076603157578</v>
      </c>
    </row>
    <row r="14" spans="2:36" x14ac:dyDescent="0.2">
      <c r="B14" s="8">
        <v>44835</v>
      </c>
      <c r="C14" s="4">
        <v>476</v>
      </c>
      <c r="D14" s="9">
        <v>-3.1512605042016806E-2</v>
      </c>
      <c r="E14" s="12">
        <v>33694.839999999997</v>
      </c>
      <c r="F14" s="9">
        <v>2.1539203035242038E-2</v>
      </c>
      <c r="G14" s="10">
        <v>210447.8</v>
      </c>
      <c r="H14" s="9">
        <v>2.9059462726623898E-2</v>
      </c>
      <c r="I14" s="11">
        <v>70.787478991596629</v>
      </c>
      <c r="J14" s="11">
        <v>3.2615189207207038</v>
      </c>
      <c r="K14" s="11">
        <v>53.661595092024541</v>
      </c>
      <c r="L14" s="12">
        <v>26605.747832777342</v>
      </c>
      <c r="M14" s="12">
        <v>226021.28964540915</v>
      </c>
      <c r="N14" s="11">
        <v>2261</v>
      </c>
      <c r="O14" s="12">
        <v>24344.747832777342</v>
      </c>
      <c r="P14" s="12">
        <v>203563.28964540915</v>
      </c>
      <c r="Q14" s="10">
        <v>210447.8</v>
      </c>
      <c r="R14" s="9">
        <v>2.9059462726623898E-2</v>
      </c>
      <c r="S14" s="13">
        <v>0.16011020310024623</v>
      </c>
      <c r="T14" s="10">
        <v>123850.20000000001</v>
      </c>
      <c r="U14" s="12">
        <v>25049.35</v>
      </c>
      <c r="V14" s="12">
        <v>1959.69</v>
      </c>
      <c r="W14" s="10">
        <v>70909.7</v>
      </c>
      <c r="X14" s="12">
        <v>42.32</v>
      </c>
      <c r="Y14" s="4">
        <v>145.19999999999999</v>
      </c>
      <c r="Z14" s="12">
        <v>443.59</v>
      </c>
      <c r="AA14" s="4">
        <v>531</v>
      </c>
      <c r="AB14" s="12">
        <v>204.91</v>
      </c>
      <c r="AC14" s="12">
        <v>25049.35</v>
      </c>
      <c r="AD14" s="12">
        <v>8645.489999999998</v>
      </c>
      <c r="AE14" s="12">
        <v>11792.212500000001</v>
      </c>
      <c r="AF14" s="11">
        <v>0.16011020310024623</v>
      </c>
      <c r="AG14" s="11">
        <v>0.17734825166169074</v>
      </c>
      <c r="AH14" s="12">
        <v>376906.64</v>
      </c>
      <c r="AI14" s="14">
        <v>0.44121871426127901</v>
      </c>
    </row>
    <row r="15" spans="2:36" x14ac:dyDescent="0.2">
      <c r="B15" s="8">
        <v>44866</v>
      </c>
      <c r="C15" s="4">
        <v>484</v>
      </c>
      <c r="D15" s="9">
        <v>1.6528925619834711E-2</v>
      </c>
      <c r="E15" s="12">
        <v>34155.480000000003</v>
      </c>
      <c r="F15" s="9">
        <v>1.3486562039239579E-2</v>
      </c>
      <c r="G15" s="10">
        <v>217479</v>
      </c>
      <c r="H15" s="9">
        <v>3.2330477885221157E-2</v>
      </c>
      <c r="I15" s="11">
        <v>70.569173553719011</v>
      </c>
      <c r="J15" s="11">
        <v>3.4798243585983215</v>
      </c>
      <c r="K15" s="11">
        <v>55.383197556008142</v>
      </c>
      <c r="L15" s="12">
        <v>28159.790301160589</v>
      </c>
      <c r="M15" s="12">
        <v>254181.07994656975</v>
      </c>
      <c r="N15" s="11">
        <v>2299</v>
      </c>
      <c r="O15" s="12">
        <v>25860.790301160589</v>
      </c>
      <c r="P15" s="12">
        <v>229424.07994656975</v>
      </c>
      <c r="Q15" s="10">
        <v>217479</v>
      </c>
      <c r="R15" s="9">
        <v>3.2330477885221157E-2</v>
      </c>
      <c r="S15" s="13">
        <v>0.15705185328238591</v>
      </c>
      <c r="T15" s="10">
        <v>131657</v>
      </c>
      <c r="U15" s="12">
        <v>25309.940000000002</v>
      </c>
      <c r="V15" s="12">
        <v>2076.0199999999995</v>
      </c>
      <c r="W15" s="10">
        <v>76462</v>
      </c>
      <c r="X15" s="12">
        <v>25.970000000000002</v>
      </c>
      <c r="Y15" s="4">
        <v>94.2</v>
      </c>
      <c r="Z15" s="12">
        <v>256.45000000000005</v>
      </c>
      <c r="AA15" s="4">
        <v>313</v>
      </c>
      <c r="AB15" s="12">
        <v>100.98</v>
      </c>
      <c r="AC15" s="12">
        <v>25309.940000000002</v>
      </c>
      <c r="AD15" s="12">
        <v>8845.5400000000009</v>
      </c>
      <c r="AE15" s="12">
        <v>11792.212500000001</v>
      </c>
      <c r="AF15" s="11">
        <v>0.15705185328238591</v>
      </c>
      <c r="AG15" s="11">
        <v>0.17734825166169074</v>
      </c>
      <c r="AH15" s="12">
        <v>411062.12</v>
      </c>
      <c r="AI15" s="14">
        <v>0.45189229164967815</v>
      </c>
    </row>
    <row r="16" spans="2:36" x14ac:dyDescent="0.2">
      <c r="B16" s="8">
        <v>44896</v>
      </c>
      <c r="C16" s="4">
        <v>479</v>
      </c>
      <c r="D16" s="9">
        <v>-1.0438413361169102E-2</v>
      </c>
      <c r="E16" s="12">
        <v>31911.640000000003</v>
      </c>
      <c r="F16" s="9">
        <v>-7.0314154960384359E-2</v>
      </c>
      <c r="G16" s="10">
        <v>204421.1</v>
      </c>
      <c r="H16" s="9">
        <v>-6.3877456877005329E-2</v>
      </c>
      <c r="I16" s="11">
        <v>66.621377870563677</v>
      </c>
      <c r="J16" s="11">
        <v>7.4276200417536558</v>
      </c>
      <c r="K16" s="11">
        <v>51.742521008403372</v>
      </c>
      <c r="L16" s="12">
        <v>26662.089425648359</v>
      </c>
      <c r="M16" s="12">
        <v>280843.16937221808</v>
      </c>
      <c r="N16" s="11">
        <v>2275.25</v>
      </c>
      <c r="O16" s="12">
        <v>24386.839425648359</v>
      </c>
      <c r="P16" s="12">
        <v>253810.91937221811</v>
      </c>
      <c r="Q16" s="10">
        <v>204421.1</v>
      </c>
      <c r="R16" s="9">
        <v>-6.3877456877005329E-2</v>
      </c>
      <c r="S16" s="13">
        <v>0.15610736856420399</v>
      </c>
      <c r="T16" s="10">
        <v>134642.4</v>
      </c>
      <c r="U16" s="12">
        <v>25124.920000000002</v>
      </c>
      <c r="V16" s="12">
        <v>735.8</v>
      </c>
      <c r="W16" s="10">
        <v>66305.599999999991</v>
      </c>
      <c r="X16" s="12">
        <v>53.32</v>
      </c>
      <c r="Y16" s="4">
        <v>199.2</v>
      </c>
      <c r="Z16" s="12">
        <v>56.83</v>
      </c>
      <c r="AA16" s="4">
        <v>67</v>
      </c>
      <c r="AB16" s="12">
        <v>26.15</v>
      </c>
      <c r="AC16" s="12">
        <v>25124.920000000002</v>
      </c>
      <c r="AD16" s="12">
        <v>6786.7200000000012</v>
      </c>
      <c r="AE16" s="12">
        <v>11792.212500000001</v>
      </c>
      <c r="AF16" s="11">
        <v>0.15610736856420399</v>
      </c>
      <c r="AG16" s="11">
        <v>0.17734825166169074</v>
      </c>
      <c r="AH16" s="12">
        <v>442973.76</v>
      </c>
      <c r="AI16" s="14">
        <v>0.4551885237133888</v>
      </c>
    </row>
    <row r="17" spans="2:48" x14ac:dyDescent="0.2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</row>
    <row r="18" spans="2:48" ht="25.5" x14ac:dyDescent="0.2">
      <c r="D18" s="17" t="s">
        <v>47</v>
      </c>
    </row>
    <row r="22" spans="2:48" ht="15" x14ac:dyDescent="0.25">
      <c r="B22"/>
      <c r="C22"/>
    </row>
    <row r="23" spans="2:48" ht="15" x14ac:dyDescent="0.25">
      <c r="B23"/>
      <c r="C23"/>
    </row>
    <row r="24" spans="2:48" ht="15" x14ac:dyDescent="0.25">
      <c r="B24"/>
      <c r="C24"/>
    </row>
    <row r="25" spans="2:48" ht="15" x14ac:dyDescent="0.25">
      <c r="B25"/>
      <c r="C25"/>
    </row>
    <row r="26" spans="2:48" ht="15" x14ac:dyDescent="0.25">
      <c r="B26"/>
      <c r="C26"/>
    </row>
    <row r="27" spans="2:48" ht="15" x14ac:dyDescent="0.25">
      <c r="B27"/>
      <c r="C27"/>
    </row>
    <row r="28" spans="2:48" ht="15" x14ac:dyDescent="0.25">
      <c r="B28"/>
      <c r="C28"/>
    </row>
    <row r="29" spans="2:48" ht="15" x14ac:dyDescent="0.25">
      <c r="B29"/>
      <c r="C29"/>
      <c r="AU29" s="2"/>
      <c r="AV29" s="2" t="s">
        <v>22</v>
      </c>
    </row>
    <row r="30" spans="2:48" ht="15" x14ac:dyDescent="0.25">
      <c r="B30"/>
      <c r="C30"/>
      <c r="AU30" s="3" t="s">
        <v>23</v>
      </c>
      <c r="AV30" s="3" t="s">
        <v>24</v>
      </c>
    </row>
    <row r="31" spans="2:48" ht="15" x14ac:dyDescent="0.25">
      <c r="B31"/>
      <c r="C31"/>
      <c r="AU31" s="4" t="s">
        <v>25</v>
      </c>
      <c r="AV31" s="4">
        <v>166</v>
      </c>
    </row>
    <row r="32" spans="2:48" ht="15" x14ac:dyDescent="0.25">
      <c r="B32"/>
      <c r="C32"/>
      <c r="AU32" s="4" t="s">
        <v>26</v>
      </c>
      <c r="AV32" s="4">
        <v>45</v>
      </c>
    </row>
    <row r="33" spans="2:48" ht="15" x14ac:dyDescent="0.25">
      <c r="B33"/>
      <c r="C33"/>
      <c r="AU33" s="4" t="s">
        <v>27</v>
      </c>
      <c r="AV33" s="4">
        <v>23</v>
      </c>
    </row>
    <row r="34" spans="2:48" x14ac:dyDescent="0.2">
      <c r="AU34" s="4" t="s">
        <v>28</v>
      </c>
      <c r="AV34" s="4">
        <v>19</v>
      </c>
    </row>
    <row r="35" spans="2:48" x14ac:dyDescent="0.2">
      <c r="AU35" s="4" t="s">
        <v>29</v>
      </c>
      <c r="AV35" s="4">
        <v>32</v>
      </c>
    </row>
    <row r="36" spans="2:48" x14ac:dyDescent="0.2">
      <c r="AU36" s="4" t="s">
        <v>30</v>
      </c>
      <c r="AV36" s="4">
        <v>21</v>
      </c>
    </row>
    <row r="37" spans="2:48" x14ac:dyDescent="0.2">
      <c r="AU37" s="4" t="s">
        <v>31</v>
      </c>
      <c r="AV37" s="4">
        <v>32</v>
      </c>
    </row>
    <row r="38" spans="2:48" x14ac:dyDescent="0.2">
      <c r="AU38" s="4" t="s">
        <v>32</v>
      </c>
      <c r="AV38" s="4">
        <v>24</v>
      </c>
    </row>
    <row r="39" spans="2:48" x14ac:dyDescent="0.2">
      <c r="AU39" s="5" t="s">
        <v>33</v>
      </c>
      <c r="AV39" s="4">
        <v>117</v>
      </c>
    </row>
    <row r="40" spans="2:48" x14ac:dyDescent="0.2">
      <c r="AU40" s="4" t="s">
        <v>34</v>
      </c>
      <c r="AV40" s="4">
        <f>SUM(AV31:AV39)</f>
        <v>479</v>
      </c>
    </row>
    <row r="41" spans="2:48" x14ac:dyDescent="0.2">
      <c r="AU41" s="4" t="s">
        <v>35</v>
      </c>
      <c r="AV41" s="6" t="s">
        <v>36</v>
      </c>
    </row>
    <row r="42" spans="2:48" x14ac:dyDescent="0.2">
      <c r="AU42" s="5" t="s">
        <v>33</v>
      </c>
      <c r="AV42" s="4">
        <v>117</v>
      </c>
    </row>
    <row r="43" spans="2:48" x14ac:dyDescent="0.2">
      <c r="AU43" s="4" t="s">
        <v>37</v>
      </c>
      <c r="AV43" s="4">
        <v>211</v>
      </c>
    </row>
    <row r="44" spans="2:48" x14ac:dyDescent="0.2">
      <c r="AU44" s="4" t="s">
        <v>38</v>
      </c>
      <c r="AV44" s="4">
        <v>127</v>
      </c>
    </row>
    <row r="45" spans="2:48" x14ac:dyDescent="0.2">
      <c r="AU45" s="4" t="s">
        <v>32</v>
      </c>
      <c r="AV45" s="4">
        <v>24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A9186-0A75-47D6-B53B-0020225AF7AF}">
  <sheetPr codeName="Sheet2"/>
  <dimension ref="A8:H111"/>
  <sheetViews>
    <sheetView zoomScale="80" zoomScaleNormal="80" workbookViewId="0"/>
  </sheetViews>
  <sheetFormatPr defaultRowHeight="15" x14ac:dyDescent="0.25"/>
  <cols>
    <col min="1" max="1" width="58.42578125" bestFit="1" customWidth="1"/>
    <col min="2" max="2" width="13.5703125" customWidth="1"/>
    <col min="3" max="3" width="54.7109375" customWidth="1"/>
    <col min="4" max="4" width="11.5703125" bestFit="1" customWidth="1"/>
  </cols>
  <sheetData>
    <row r="8" spans="1:8" x14ac:dyDescent="0.25">
      <c r="A8" s="33" t="s">
        <v>103</v>
      </c>
    </row>
    <row r="9" spans="1:8" x14ac:dyDescent="0.25">
      <c r="A9" t="s">
        <v>104</v>
      </c>
    </row>
    <row r="10" spans="1:8" x14ac:dyDescent="0.25">
      <c r="A10" t="s">
        <v>105</v>
      </c>
    </row>
    <row r="11" spans="1:8" x14ac:dyDescent="0.25">
      <c r="A11" t="s">
        <v>106</v>
      </c>
    </row>
    <row r="12" spans="1:8" ht="15.75" x14ac:dyDescent="0.25">
      <c r="A12" t="s">
        <v>107</v>
      </c>
      <c r="H12" s="32"/>
    </row>
    <row r="13" spans="1:8" x14ac:dyDescent="0.25">
      <c r="A13" t="s">
        <v>108</v>
      </c>
      <c r="B13" s="33"/>
      <c r="C13" s="33" t="s">
        <v>68</v>
      </c>
      <c r="D13" s="33" t="s">
        <v>69</v>
      </c>
    </row>
    <row r="14" spans="1:8" ht="15" customHeight="1" x14ac:dyDescent="0.25">
      <c r="A14" t="s">
        <v>109</v>
      </c>
      <c r="B14">
        <v>1</v>
      </c>
      <c r="C14" t="s">
        <v>84</v>
      </c>
      <c r="D14" t="s">
        <v>70</v>
      </c>
    </row>
    <row r="15" spans="1:8" ht="15" customHeight="1" x14ac:dyDescent="0.25">
      <c r="A15" t="s">
        <v>110</v>
      </c>
      <c r="B15">
        <v>2</v>
      </c>
      <c r="C15" t="s">
        <v>86</v>
      </c>
      <c r="D15" t="s">
        <v>72</v>
      </c>
    </row>
    <row r="16" spans="1:8" ht="15" customHeight="1" x14ac:dyDescent="0.25">
      <c r="A16" t="s">
        <v>111</v>
      </c>
      <c r="B16">
        <v>3</v>
      </c>
      <c r="C16" t="s">
        <v>98</v>
      </c>
      <c r="D16" t="s">
        <v>35</v>
      </c>
    </row>
    <row r="17" spans="1:4" ht="15" customHeight="1" x14ac:dyDescent="0.25">
      <c r="A17" t="s">
        <v>112</v>
      </c>
      <c r="B17">
        <v>4</v>
      </c>
      <c r="C17" t="s">
        <v>87</v>
      </c>
      <c r="D17" t="s">
        <v>73</v>
      </c>
    </row>
    <row r="18" spans="1:4" ht="15" customHeight="1" x14ac:dyDescent="0.25">
      <c r="A18" t="s">
        <v>113</v>
      </c>
      <c r="B18">
        <v>5</v>
      </c>
      <c r="C18" t="s">
        <v>85</v>
      </c>
      <c r="D18" t="s">
        <v>71</v>
      </c>
    </row>
    <row r="19" spans="1:4" ht="15" customHeight="1" x14ac:dyDescent="0.25">
      <c r="A19" t="s">
        <v>114</v>
      </c>
      <c r="B19">
        <v>6</v>
      </c>
      <c r="C19" t="s">
        <v>88</v>
      </c>
      <c r="D19" t="s">
        <v>74</v>
      </c>
    </row>
    <row r="20" spans="1:4" ht="15" customHeight="1" x14ac:dyDescent="0.25">
      <c r="A20" t="s">
        <v>115</v>
      </c>
      <c r="B20">
        <v>7</v>
      </c>
      <c r="C20" t="s">
        <v>96</v>
      </c>
      <c r="D20" t="s">
        <v>82</v>
      </c>
    </row>
    <row r="21" spans="1:4" ht="15" customHeight="1" x14ac:dyDescent="0.25">
      <c r="A21" t="s">
        <v>116</v>
      </c>
      <c r="B21">
        <v>8</v>
      </c>
      <c r="C21" t="s">
        <v>89</v>
      </c>
      <c r="D21" t="s">
        <v>75</v>
      </c>
    </row>
    <row r="22" spans="1:4" ht="15" customHeight="1" x14ac:dyDescent="0.25">
      <c r="A22" t="s">
        <v>117</v>
      </c>
      <c r="B22">
        <v>9</v>
      </c>
      <c r="C22" t="s">
        <v>90</v>
      </c>
      <c r="D22" t="s">
        <v>76</v>
      </c>
    </row>
    <row r="23" spans="1:4" ht="15" customHeight="1" x14ac:dyDescent="0.25">
      <c r="A23" t="s">
        <v>118</v>
      </c>
      <c r="B23">
        <v>10</v>
      </c>
      <c r="C23" t="s">
        <v>91</v>
      </c>
      <c r="D23" t="s">
        <v>77</v>
      </c>
    </row>
    <row r="24" spans="1:4" ht="15" customHeight="1" x14ac:dyDescent="0.25">
      <c r="A24" t="s">
        <v>119</v>
      </c>
      <c r="B24">
        <v>11</v>
      </c>
      <c r="C24" t="s">
        <v>92</v>
      </c>
      <c r="D24" t="s">
        <v>78</v>
      </c>
    </row>
    <row r="25" spans="1:4" ht="15" customHeight="1" x14ac:dyDescent="0.25">
      <c r="A25" t="s">
        <v>120</v>
      </c>
      <c r="B25">
        <v>12</v>
      </c>
      <c r="C25" t="s">
        <v>93</v>
      </c>
      <c r="D25" t="s">
        <v>79</v>
      </c>
    </row>
    <row r="26" spans="1:4" ht="15" customHeight="1" x14ac:dyDescent="0.25">
      <c r="A26" t="s">
        <v>121</v>
      </c>
      <c r="B26">
        <v>13</v>
      </c>
      <c r="C26" t="s">
        <v>97</v>
      </c>
      <c r="D26" t="s">
        <v>83</v>
      </c>
    </row>
    <row r="27" spans="1:4" ht="15" customHeight="1" x14ac:dyDescent="0.25">
      <c r="A27" t="s">
        <v>122</v>
      </c>
      <c r="B27">
        <v>14</v>
      </c>
      <c r="C27" t="s">
        <v>94</v>
      </c>
      <c r="D27" t="s">
        <v>80</v>
      </c>
    </row>
    <row r="28" spans="1:4" ht="15" customHeight="1" x14ac:dyDescent="0.25">
      <c r="A28" t="s">
        <v>123</v>
      </c>
      <c r="B28">
        <v>15</v>
      </c>
      <c r="C28" t="s">
        <v>95</v>
      </c>
      <c r="D28" t="s">
        <v>81</v>
      </c>
    </row>
    <row r="29" spans="1:4" ht="15" customHeight="1" x14ac:dyDescent="0.25">
      <c r="A29" t="s">
        <v>124</v>
      </c>
      <c r="B29">
        <v>16</v>
      </c>
      <c r="C29" t="s">
        <v>101</v>
      </c>
      <c r="D29" t="s">
        <v>102</v>
      </c>
    </row>
    <row r="30" spans="1:4" ht="15" customHeight="1" x14ac:dyDescent="0.25"/>
    <row r="31" spans="1:4" ht="15" customHeight="1" x14ac:dyDescent="0.25"/>
    <row r="32" spans="1:4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spans="3:3" ht="15" customHeight="1" x14ac:dyDescent="0.25"/>
    <row r="82" spans="3:3" ht="15" customHeight="1" x14ac:dyDescent="0.25"/>
    <row r="83" spans="3:3" ht="15" customHeight="1" x14ac:dyDescent="0.25"/>
    <row r="84" spans="3:3" ht="15" customHeight="1" x14ac:dyDescent="0.25"/>
    <row r="85" spans="3:3" ht="15" customHeight="1" x14ac:dyDescent="0.25"/>
    <row r="86" spans="3:3" ht="15" customHeight="1" x14ac:dyDescent="0.25"/>
    <row r="87" spans="3:3" ht="15" customHeight="1" x14ac:dyDescent="0.25"/>
    <row r="88" spans="3:3" ht="15" customHeight="1" x14ac:dyDescent="0.25"/>
    <row r="89" spans="3:3" ht="15" customHeight="1" x14ac:dyDescent="0.25"/>
    <row r="90" spans="3:3" ht="15" customHeight="1" x14ac:dyDescent="0.25"/>
    <row r="91" spans="3:3" ht="15" customHeight="1" x14ac:dyDescent="0.25"/>
    <row r="92" spans="3:3" ht="15" customHeight="1" x14ac:dyDescent="0.25"/>
    <row r="93" spans="3:3" ht="15" customHeight="1" x14ac:dyDescent="0.25"/>
    <row r="95" spans="3:3" x14ac:dyDescent="0.25">
      <c r="C95" s="33" t="s">
        <v>99</v>
      </c>
    </row>
    <row r="96" spans="3:3" ht="45" x14ac:dyDescent="0.25">
      <c r="C96" s="34" t="str">
        <f>CONCATENATE("Sub btn_" &amp; D14 &amp; "_Click()" &amp; CHAR(10) &amp; "    Sheets(""" &amp; C14  &amp; """).select " &amp; CHAR(10) &amp;  "End Sub")</f>
        <v>Sub btn_CSS_Click()
    Sheets("Cumulative_Savings_vs_Spend").select 
End Sub</v>
      </c>
    </row>
    <row r="97" spans="3:3" ht="45" x14ac:dyDescent="0.25">
      <c r="C97" s="34" t="str">
        <f>CONCATENATE("Sub btn_" &amp; D18 &amp; "_Click()" &amp; CHAR(10) &amp; "    Sheets(""" &amp; C18  &amp; """).select " &amp; CHAR(10) &amp;  "End Sub")</f>
        <v>Sub btn_YTDTC_Click()
    Sheets("YTD_Trending_Charges").select 
End Sub</v>
      </c>
    </row>
    <row r="98" spans="3:3" ht="45" x14ac:dyDescent="0.25">
      <c r="C98" s="34" t="str">
        <f>CONCATENATE("Sub btn_" &amp; D15 &amp; "_Click()" &amp; CHAR(10) &amp; "    Sheets(""" &amp; C15  &amp; """).select " &amp; CHAR(10) &amp;  "End Sub")</f>
        <v>Sub btn_NCS_Click()
    Sheets("Net_Cumulative_Savings").select 
End Sub</v>
      </c>
    </row>
    <row r="99" spans="3:3" ht="45" x14ac:dyDescent="0.25">
      <c r="C99" s="34" t="str">
        <f>CONCATENATE("Sub btn_" &amp; D17 &amp; "_Click()" &amp; CHAR(10) &amp; "    Sheets(""" &amp; C17  &amp; """).select " &amp; CHAR(10) &amp;  "End Sub")</f>
        <v>Sub btn_WSM_Click()
    Sheets("Wireless_Spend_and_Minutes").select 
End Sub</v>
      </c>
    </row>
    <row r="100" spans="3:3" ht="45" x14ac:dyDescent="0.25">
      <c r="C100" s="34" t="str">
        <f>CONCATENATE("Sub btn_" &amp; D19 &amp; "_Click()" &amp; CHAR(10) &amp; "    Sheets(""" &amp; C19  &amp; """).select " &amp; CHAR(10) &amp;  "End Sub")</f>
        <v>Sub btn_MSB_Click()
    Sheets("Monthly_Savings_vs_Baseline").select 
End Sub</v>
      </c>
    </row>
    <row r="101" spans="3:3" ht="45" x14ac:dyDescent="0.25">
      <c r="C101" s="34" t="str">
        <f>CONCATENATE("Sub btn_" &amp; D21 &amp; "_Click()" &amp; CHAR(10) &amp; "    Sheets(""" &amp; C21  &amp; """).select " &amp; CHAR(10) &amp;  "End Sub")</f>
        <v>Sub btn_NSSC_Click()
    Sheets("NetSavings_vs_SourceMobile_Cost").select 
End Sub</v>
      </c>
    </row>
    <row r="102" spans="3:3" ht="45" x14ac:dyDescent="0.25">
      <c r="C102" s="34" t="str">
        <f>CONCATENATE("Sub btn_" &amp; D22 &amp; "_Click()" &amp; CHAR(10) &amp; "    Sheets(""" &amp; C22  &amp; """).select " &amp; CHAR(10) &amp;  "End Sub")</f>
        <v>Sub btn_TSM_Click()
    Sheets("Total_Spend_and_Minutes").select 
End Sub</v>
      </c>
    </row>
    <row r="103" spans="3:3" ht="45" x14ac:dyDescent="0.25">
      <c r="C103" s="34" t="str">
        <f>CONCATENATE("Sub btn_" &amp; D23 &amp; "_Click()" &amp; CHAR(10) &amp; "    Sheets(""" &amp; C23  &amp; """).select " &amp; CHAR(10) &amp;  "End Sub")</f>
        <v>Sub btn_MSC_Click()
    Sheets("MonthlySpend_vs_CumlSavings").select 
End Sub</v>
      </c>
    </row>
    <row r="104" spans="3:3" ht="45" x14ac:dyDescent="0.25">
      <c r="C104" s="34" t="str">
        <f>CONCATENATE("Sub btn_" &amp; D24 &amp; "_Click()" &amp; CHAR(10) &amp; "    Sheets(""" &amp; C24  &amp; """).select " &amp; CHAR(10) &amp;  "End Sub")</f>
        <v>Sub btn_MMACP_Click()
    Sheets("Monthly_Mins_Avg_Cost_perPhone").select 
End Sub</v>
      </c>
    </row>
    <row r="105" spans="3:3" ht="45" x14ac:dyDescent="0.25">
      <c r="C105" s="34" t="str">
        <f>CONCATENATE("Sub btn_" &amp; D25 &amp; "_Click()" &amp; CHAR(10) &amp; "    Sheets(""" &amp; C25  &amp; """).select " &amp; CHAR(10) &amp;  "End Sub")</f>
        <v>Sub btn_UCPM_Click()
    Sheets("Usage_Cost_Per_Minute").select 
End Sub</v>
      </c>
    </row>
    <row r="106" spans="3:3" ht="45" x14ac:dyDescent="0.25">
      <c r="C106" s="34" t="str">
        <f>CONCATENATE("Sub btn_" &amp; D27 &amp; "_Click()" &amp; CHAR(10) &amp; "    Sheets(""" &amp; C27  &amp; """).select " &amp; CHAR(10) &amp;  "End Sub")</f>
        <v>Sub btn_MMC_Click()
    Sheets("Monthly_Minutes_and_CPM").select 
End Sub</v>
      </c>
    </row>
    <row r="107" spans="3:3" ht="45" x14ac:dyDescent="0.25">
      <c r="C107" s="34" t="str">
        <f>CONCATENATE("Sub btn_" &amp; D28 &amp; "_Click()" &amp; CHAR(10) &amp; "    Sheets(""" &amp; C28  &amp; """).select " &amp; CHAR(10) &amp;  "End Sub")</f>
        <v>Sub btn_SMU_Click()
    Sheets("Savings_vs_Minutes_of_Use").select 
End Sub</v>
      </c>
    </row>
    <row r="108" spans="3:3" ht="45" x14ac:dyDescent="0.25">
      <c r="C108" s="34" t="str">
        <f>CONCATENATE("Sub btn_" &amp; D29 &amp; "_Click()" &amp; CHAR(10) &amp; "    Sheets(""" &amp; C29  &amp; """).select " &amp; CHAR(10) &amp;  "End Sub")</f>
        <v>Sub btn_NSMU_Click()
    Sheets("Net Savings &amp; Mins of Use").select 
End Sub</v>
      </c>
    </row>
    <row r="109" spans="3:3" ht="45" x14ac:dyDescent="0.25">
      <c r="C109" s="34" t="str">
        <f>CONCATENATE("Sub btn_" &amp; D20 &amp; "_Click()" &amp; CHAR(10) &amp; "    Sheets(""" &amp; C20  &amp; """).select " &amp; CHAR(10) &amp;  "End Sub")</f>
        <v>Sub btn_WSND_Click()
    Sheets("Wireless_Spend_and_Num_Devices").select 
End Sub</v>
      </c>
    </row>
    <row r="110" spans="3:3" ht="45" x14ac:dyDescent="0.25">
      <c r="C110" s="34" t="str">
        <f>CONCATENATE("Sub btn_" &amp; D26 &amp; "_Click()" &amp; CHAR(10) &amp; "    Sheets(""" &amp; C26  &amp; """).select " &amp; CHAR(10) &amp;  "End Sub")</f>
        <v>Sub btn_UO_Click()
    Sheets("Usage_Overview").select 
End Sub</v>
      </c>
    </row>
    <row r="111" spans="3:3" ht="45" x14ac:dyDescent="0.25">
      <c r="C111" s="34" t="str">
        <f>CONCATENATE("Sub btn_" &amp; D16 &amp; "_Click()" &amp; CHAR(10) &amp; "    Sheets(""" &amp; C16  &amp; """).select " &amp; CHAR(10) &amp;  "End Sub")</f>
        <v>Sub btn_CPM_Click()
    Sheets("Cost_per_Minute").select 
End Sub</v>
      </c>
    </row>
  </sheetData>
  <sortState xmlns:xlrd2="http://schemas.microsoft.com/office/spreadsheetml/2017/richdata2" ref="D18">
    <sortCondition ref="D18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B894-1D33-453C-8D97-C0DA5C6F264C}">
  <sheetPr codeName="Sheet3">
    <pageSetUpPr autoPageBreaks="0" fitToPage="1"/>
  </sheetPr>
  <dimension ref="A1:AI109"/>
  <sheetViews>
    <sheetView showGridLines="0" showRowColHeaders="0" tabSelected="1" zoomScale="80" zoomScaleNormal="80" workbookViewId="0">
      <selection activeCell="J7" sqref="J7"/>
    </sheetView>
  </sheetViews>
  <sheetFormatPr defaultColWidth="8.85546875" defaultRowHeight="12.75" x14ac:dyDescent="0.2"/>
  <cols>
    <col min="1" max="1" width="4.7109375" style="4" customWidth="1"/>
    <col min="2" max="2" width="20.7109375" style="4" customWidth="1"/>
    <col min="3" max="3" width="2.7109375" style="4" customWidth="1"/>
    <col min="4" max="4" width="20.7109375" style="4" customWidth="1"/>
    <col min="5" max="5" width="2.7109375" style="4" customWidth="1"/>
    <col min="6" max="6" width="20.7109375" style="4" customWidth="1"/>
    <col min="7" max="7" width="2.7109375" style="4" customWidth="1"/>
    <col min="8" max="8" width="20.7109375" style="4" customWidth="1"/>
    <col min="9" max="9" width="2.7109375" style="4" customWidth="1"/>
    <col min="10" max="10" width="20.7109375" style="4" customWidth="1"/>
    <col min="11" max="11" width="2.7109375" style="4" customWidth="1"/>
    <col min="12" max="12" width="20.7109375" style="4" customWidth="1"/>
    <col min="13" max="14" width="8.85546875" style="4"/>
    <col min="15" max="15" width="6.7109375" style="4" customWidth="1"/>
    <col min="16" max="18" width="8.85546875" style="4"/>
    <col min="19" max="19" width="6.7109375" style="4" customWidth="1"/>
    <col min="20" max="16384" width="8.85546875" style="4"/>
  </cols>
  <sheetData>
    <row r="1" spans="1:35" ht="109.5" customHeigh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35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</row>
    <row r="2" spans="1:35" ht="12.75" customHeight="1" x14ac:dyDescent="0.2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</row>
    <row r="3" spans="1:35" s="1" customFormat="1" ht="69.95" customHeight="1" x14ac:dyDescent="0.2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3"/>
      <c r="M3" s="36"/>
      <c r="N3" s="36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</row>
    <row r="4" spans="1:35" s="26" customFormat="1" ht="25.5" customHeight="1" x14ac:dyDescent="0.25">
      <c r="A4" s="24"/>
      <c r="B4" s="24" t="s">
        <v>55</v>
      </c>
      <c r="C4" s="24"/>
      <c r="D4" s="24" t="s">
        <v>10</v>
      </c>
      <c r="E4" s="24"/>
      <c r="F4" s="24" t="s">
        <v>56</v>
      </c>
      <c r="G4" s="24"/>
      <c r="H4" s="24" t="s">
        <v>57</v>
      </c>
      <c r="I4" s="24"/>
      <c r="J4" s="24" t="s">
        <v>58</v>
      </c>
      <c r="K4" s="24"/>
      <c r="L4" s="24" t="s">
        <v>59</v>
      </c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</row>
    <row r="5" spans="1:35" s="1" customFormat="1" ht="69.95" customHeight="1" x14ac:dyDescent="0.2">
      <c r="A5" s="27"/>
      <c r="B5" s="22"/>
      <c r="C5" s="22"/>
      <c r="D5" s="22"/>
      <c r="E5" s="22"/>
      <c r="F5" s="22"/>
      <c r="G5" s="22"/>
      <c r="H5" s="22"/>
      <c r="I5" s="22"/>
      <c r="J5" s="22"/>
      <c r="K5" s="22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</row>
    <row r="6" spans="1:35" s="26" customFormat="1" ht="25.5" customHeight="1" x14ac:dyDescent="0.2">
      <c r="A6" s="24"/>
      <c r="B6" s="28" t="s">
        <v>60</v>
      </c>
      <c r="C6" s="24"/>
      <c r="D6" s="24" t="s">
        <v>100</v>
      </c>
      <c r="E6" s="24"/>
      <c r="F6" s="24" t="s">
        <v>61</v>
      </c>
      <c r="G6" s="24"/>
      <c r="H6" s="24" t="s">
        <v>62</v>
      </c>
      <c r="I6" s="24"/>
      <c r="J6" s="24" t="s">
        <v>63</v>
      </c>
      <c r="K6" s="24"/>
      <c r="L6" s="24" t="s">
        <v>16</v>
      </c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</row>
    <row r="7" spans="1:35" s="1" customFormat="1" ht="69.95" customHeight="1" x14ac:dyDescent="0.2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</row>
    <row r="8" spans="1:35" s="26" customFormat="1" ht="21" x14ac:dyDescent="0.25">
      <c r="A8" s="25"/>
      <c r="B8" s="24" t="s">
        <v>64</v>
      </c>
      <c r="C8" s="24"/>
      <c r="D8" s="24" t="s">
        <v>65</v>
      </c>
      <c r="E8" s="24"/>
      <c r="F8" s="24" t="s">
        <v>66</v>
      </c>
      <c r="G8" s="24"/>
      <c r="H8" s="24" t="s">
        <v>67</v>
      </c>
      <c r="I8" s="24"/>
      <c r="J8" s="24"/>
      <c r="K8" s="24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</row>
    <row r="9" spans="1:35" ht="69.95" customHeight="1" x14ac:dyDescent="0.25">
      <c r="A9" s="21"/>
      <c r="B9" s="38" t="s">
        <v>125</v>
      </c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</row>
    <row r="10" spans="1:35" s="30" customFormat="1" ht="25.5" customHeight="1" x14ac:dyDescent="0.2">
      <c r="A10" s="29"/>
      <c r="B10" s="21"/>
      <c r="C10" s="29"/>
      <c r="D10" s="37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</row>
    <row r="11" spans="1:35" ht="12.75" customHeight="1" x14ac:dyDescent="0.2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</row>
    <row r="12" spans="1:35" ht="12.75" customHeight="1" x14ac:dyDescent="0.2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</row>
    <row r="13" spans="1:35" ht="12.75" customHeight="1" x14ac:dyDescent="0.2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</row>
    <row r="14" spans="1:35" ht="12.75" customHeight="1" x14ac:dyDescent="0.2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</row>
    <row r="15" spans="1:35" ht="12.75" customHeight="1" x14ac:dyDescent="0.2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2.75" customHeight="1" x14ac:dyDescent="0.2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2.75" customHeight="1" x14ac:dyDescent="0.2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</row>
    <row r="18" spans="1:35" ht="12.75" customHeight="1" x14ac:dyDescent="0.2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</row>
    <row r="19" spans="1:35" s="31" customFormat="1" ht="12.75" customHeight="1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</row>
    <row r="20" spans="1:35" s="31" customFormat="1" ht="12.75" customHeight="1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</row>
    <row r="21" spans="1:35" ht="12.75" customHeight="1" x14ac:dyDescent="0.2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2.75" customHeight="1" x14ac:dyDescent="0.2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</row>
    <row r="23" spans="1:35" ht="12.75" customHeight="1" x14ac:dyDescent="0.2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</row>
    <row r="24" spans="1:35" ht="12.75" customHeight="1" x14ac:dyDescent="0.2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</row>
    <row r="25" spans="1:35" ht="12.75" customHeight="1" x14ac:dyDescent="0.2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</row>
    <row r="26" spans="1:35" ht="12.75" customHeight="1" x14ac:dyDescent="0.2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</row>
    <row r="27" spans="1:35" x14ac:dyDescent="0.2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</row>
    <row r="28" spans="1:35" x14ac:dyDescent="0.2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</row>
    <row r="29" spans="1:35" x14ac:dyDescent="0.2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</row>
    <row r="30" spans="1:35" x14ac:dyDescent="0.2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</row>
    <row r="31" spans="1:35" x14ac:dyDescent="0.2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</row>
    <row r="32" spans="1:35" x14ac:dyDescent="0.2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</row>
    <row r="33" spans="1:35" x14ac:dyDescent="0.2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</row>
    <row r="34" spans="1:35" x14ac:dyDescent="0.2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</row>
    <row r="35" spans="1:35" x14ac:dyDescent="0.2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</row>
    <row r="36" spans="1:35" x14ac:dyDescent="0.2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</row>
    <row r="37" spans="1:35" x14ac:dyDescent="0.2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</row>
    <row r="38" spans="1:35" x14ac:dyDescent="0.2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</row>
    <row r="39" spans="1:35" x14ac:dyDescent="0.2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</row>
    <row r="40" spans="1:35" x14ac:dyDescent="0.2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</row>
    <row r="41" spans="1:35" x14ac:dyDescent="0.2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</row>
    <row r="42" spans="1:35" x14ac:dyDescent="0.2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</row>
    <row r="43" spans="1:35" x14ac:dyDescent="0.2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</row>
    <row r="44" spans="1:35" x14ac:dyDescent="0.2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</row>
    <row r="45" spans="1:35" x14ac:dyDescent="0.2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</row>
    <row r="46" spans="1:35" x14ac:dyDescent="0.2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</row>
    <row r="47" spans="1:35" x14ac:dyDescent="0.2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</row>
    <row r="48" spans="1:35" x14ac:dyDescent="0.2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</row>
    <row r="49" spans="1:35" x14ac:dyDescent="0.2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</row>
    <row r="50" spans="1:35" x14ac:dyDescent="0.2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</row>
    <row r="51" spans="1:35" x14ac:dyDescent="0.2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</row>
    <row r="52" spans="1:35" x14ac:dyDescent="0.2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</row>
    <row r="53" spans="1:35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</row>
    <row r="54" spans="1:35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</row>
    <row r="55" spans="1:35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</row>
    <row r="56" spans="1:35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</row>
    <row r="57" spans="1:35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</row>
    <row r="58" spans="1:35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</row>
    <row r="59" spans="1:35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</row>
    <row r="60" spans="1:35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</row>
    <row r="61" spans="1:35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</row>
    <row r="62" spans="1:35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</row>
    <row r="63" spans="1:35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</row>
    <row r="64" spans="1:35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</row>
    <row r="65" spans="1:35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</row>
    <row r="66" spans="1:35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</row>
    <row r="67" spans="1:35" x14ac:dyDescent="0.2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</row>
    <row r="68" spans="1:35" x14ac:dyDescent="0.2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</row>
    <row r="69" spans="1:35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</row>
    <row r="70" spans="1:35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</row>
    <row r="71" spans="1:35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5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</row>
    <row r="73" spans="1:35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</row>
    <row r="74" spans="1:35" x14ac:dyDescent="0.2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</row>
    <row r="100" spans="1:1" x14ac:dyDescent="0.2">
      <c r="A100" s="4">
        <v>130</v>
      </c>
    </row>
    <row r="101" spans="1:1" x14ac:dyDescent="0.2">
      <c r="A101" s="4">
        <v>120</v>
      </c>
    </row>
    <row r="102" spans="1:1" x14ac:dyDescent="0.2">
      <c r="A102" s="4">
        <v>110</v>
      </c>
    </row>
    <row r="103" spans="1:1" x14ac:dyDescent="0.2">
      <c r="A103" s="4">
        <v>100</v>
      </c>
    </row>
    <row r="104" spans="1:1" x14ac:dyDescent="0.2">
      <c r="A104" s="4">
        <v>90</v>
      </c>
    </row>
    <row r="105" spans="1:1" x14ac:dyDescent="0.2">
      <c r="A105" s="4">
        <v>80</v>
      </c>
    </row>
    <row r="106" spans="1:1" x14ac:dyDescent="0.2">
      <c r="A106" s="4">
        <v>70</v>
      </c>
    </row>
    <row r="107" spans="1:1" x14ac:dyDescent="0.2">
      <c r="A107" s="4">
        <v>60</v>
      </c>
    </row>
    <row r="108" spans="1:1" x14ac:dyDescent="0.2">
      <c r="A108" s="4">
        <v>50</v>
      </c>
    </row>
    <row r="109" spans="1:1" x14ac:dyDescent="0.2">
      <c r="A109" s="4">
        <v>40</v>
      </c>
    </row>
  </sheetData>
  <sheetProtection selectLockedCells="1"/>
  <mergeCells count="1">
    <mergeCell ref="B9:M9"/>
  </mergeCells>
  <pageMargins left="0.25" right="0.25" top="1.5" bottom="0.5" header="0.25" footer="0.25"/>
  <pageSetup scale="88" fitToHeight="0" orientation="landscape" horizontalDpi="300" verticalDpi="300" r:id="rId1"/>
  <headerFooter alignWithMargins="0">
    <oddHeader>&amp;C
     &amp;"Times New Roman,Bold"&amp;24SourceMobile&amp;20&amp;XSM&amp;"Arial,Regular"&amp;10&amp;X
&amp;"Verdana,Bold"&amp;18Reporting Suite&amp;R&amp;G&amp;L&amp;"Verdana,Bold"&amp;14
Slattery-Skanska
Wireless Review
April 2004</oddHeader>
    <oddFooter>&amp;LPrepared by Mobile Enterprises, Inc.&amp;C&amp;D&amp;RPage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5" name="Button 1">
              <controlPr defaultSize="0" print="0" autoFill="0" autoPict="0" macro="[0]!btn_Full_Screen_Off">
                <anchor>
                  <from>
                    <xdr:col>1</xdr:col>
                    <xdr:colOff>809625</xdr:colOff>
                    <xdr:row>0</xdr:row>
                    <xdr:rowOff>1219200</xdr:rowOff>
                  </from>
                  <to>
                    <xdr:col>3</xdr:col>
                    <xdr:colOff>219075</xdr:colOff>
                    <xdr:row>0</xdr:row>
                    <xdr:rowOff>1381125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6" name="Button 2">
              <controlPr defaultSize="0" print="0" autoFill="0" autoPict="0" macro="[0]!btn_Full_Screen_On">
                <anchor>
                  <from>
                    <xdr:col>0</xdr:col>
                    <xdr:colOff>123825</xdr:colOff>
                    <xdr:row>0</xdr:row>
                    <xdr:rowOff>1219200</xdr:rowOff>
                  </from>
                  <to>
                    <xdr:col>1</xdr:col>
                    <xdr:colOff>790575</xdr:colOff>
                    <xdr:row>0</xdr:row>
                    <xdr:rowOff>1381125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7" name="Button 3">
              <controlPr defaultSize="0" print="0" autoFill="0" autoPict="0" macro="[0]!btn_Delete_Chart_Buttons">
                <anchor moveWithCells="1" sizeWithCells="1">
                  <from>
                    <xdr:col>9</xdr:col>
                    <xdr:colOff>161925</xdr:colOff>
                    <xdr:row>6</xdr:row>
                    <xdr:rowOff>523875</xdr:rowOff>
                  </from>
                  <to>
                    <xdr:col>9</xdr:col>
                    <xdr:colOff>1323975</xdr:colOff>
                    <xdr:row>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8" name="Button 4">
              <controlPr defaultSize="0" print="0" autoFill="0" autoPict="0" macro="[0]!btn_Add_Chart_Buttons">
                <anchor moveWithCells="1" sizeWithCells="1">
                  <from>
                    <xdr:col>10</xdr:col>
                    <xdr:colOff>85725</xdr:colOff>
                    <xdr:row>6</xdr:row>
                    <xdr:rowOff>523875</xdr:rowOff>
                  </from>
                  <to>
                    <xdr:col>11</xdr:col>
                    <xdr:colOff>1066800</xdr:colOff>
                    <xdr:row>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9" name="Button 5">
              <controlPr defaultSize="0" print="0" autoFill="0" autoPict="0" macro="[0]!btn_Delete_Chart_Headings">
                <anchor moveWithCells="1" sizeWithCells="1">
                  <from>
                    <xdr:col>9</xdr:col>
                    <xdr:colOff>161925</xdr:colOff>
                    <xdr:row>6</xdr:row>
                    <xdr:rowOff>238125</xdr:rowOff>
                  </from>
                  <to>
                    <xdr:col>9</xdr:col>
                    <xdr:colOff>1323975</xdr:colOff>
                    <xdr:row>6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10" name="Button 6">
              <controlPr defaultSize="0" print="0" autoFill="0" autoPict="0" macro="[0]!btn_Add_Chart_Headings">
                <anchor moveWithCells="1" sizeWithCells="1">
                  <from>
                    <xdr:col>10</xdr:col>
                    <xdr:colOff>85725</xdr:colOff>
                    <xdr:row>6</xdr:row>
                    <xdr:rowOff>238125</xdr:rowOff>
                  </from>
                  <to>
                    <xdr:col>11</xdr:col>
                    <xdr:colOff>1076325</xdr:colOff>
                    <xdr:row>6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1" name="Button 7">
              <controlPr defaultSize="0" print="0" autoFill="0" autoPict="0" macro="[0]!btn_Delete_Chart_Data">
                <anchor moveWithCells="1" sizeWithCells="1">
                  <from>
                    <xdr:col>9</xdr:col>
                    <xdr:colOff>161925</xdr:colOff>
                    <xdr:row>6</xdr:row>
                    <xdr:rowOff>819150</xdr:rowOff>
                  </from>
                  <to>
                    <xdr:col>9</xdr:col>
                    <xdr:colOff>1323975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2" name="Button 8">
              <controlPr defaultSize="0" print="0" autoFill="0" autoPict="0" macro="[0]!btn_Add_Chart_Data">
                <anchor moveWithCells="1" sizeWithCells="1">
                  <from>
                    <xdr:col>10</xdr:col>
                    <xdr:colOff>85725</xdr:colOff>
                    <xdr:row>6</xdr:row>
                    <xdr:rowOff>819150</xdr:rowOff>
                  </from>
                  <to>
                    <xdr:col>11</xdr:col>
                    <xdr:colOff>1085850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3" name="Button 11">
              <controlPr defaultSize="0" print="0" autoFill="0" autoPict="0" macro="[0]!btn_Tear_It_Down">
                <anchor moveWithCells="1" sizeWithCells="1">
                  <from>
                    <xdr:col>12</xdr:col>
                    <xdr:colOff>85725</xdr:colOff>
                    <xdr:row>6</xdr:row>
                    <xdr:rowOff>0</xdr:rowOff>
                  </from>
                  <to>
                    <xdr:col>13</xdr:col>
                    <xdr:colOff>276225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4" name="Button 12">
              <controlPr defaultSize="0" print="0" autoFill="0" autoPict="0" macro="[0]!btn_Build_It_Back_Again">
                <anchor moveWithCells="1" sizeWithCells="1">
                  <from>
                    <xdr:col>12</xdr:col>
                    <xdr:colOff>85725</xdr:colOff>
                    <xdr:row>6</xdr:row>
                    <xdr:rowOff>428625</xdr:rowOff>
                  </from>
                  <to>
                    <xdr:col>13</xdr:col>
                    <xdr:colOff>276225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5" name="Button 13">
              <controlPr defaultSize="0" print="0" autoFill="0" autoPict="0" macro="[0]!btn_Chart_Tour">
                <anchor moveWithCells="1" sizeWithCells="1">
                  <from>
                    <xdr:col>9</xdr:col>
                    <xdr:colOff>933450</xdr:colOff>
                    <xdr:row>0</xdr:row>
                    <xdr:rowOff>1095375</xdr:rowOff>
                  </from>
                  <to>
                    <xdr:col>11</xdr:col>
                    <xdr:colOff>609600</xdr:colOff>
                    <xdr:row>0</xdr:row>
                    <xdr:rowOff>1381125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16" name="Button 19">
              <controlPr defaultSize="0" print="0" autoFill="0" autoPict="0" macro="[0]!btn_Global_Zoom">
                <anchor>
                  <from>
                    <xdr:col>3</xdr:col>
                    <xdr:colOff>238125</xdr:colOff>
                    <xdr:row>0</xdr:row>
                    <xdr:rowOff>1219200</xdr:rowOff>
                  </from>
                  <to>
                    <xdr:col>3</xdr:col>
                    <xdr:colOff>1247775</xdr:colOff>
                    <xdr:row>0</xdr:row>
                    <xdr:rowOff>1381125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17" name="Button 20">
              <controlPr defaultSize="0" print="0" autoFill="0" autoPict="0" macro="[0]!btn_Hide_Ribbon">
                <anchor moveWithCells="1" sizeWithCells="1">
                  <from>
                    <xdr:col>12</xdr:col>
                    <xdr:colOff>85725</xdr:colOff>
                    <xdr:row>4</xdr:row>
                    <xdr:rowOff>352425</xdr:rowOff>
                  </from>
                  <to>
                    <xdr:col>13</xdr:col>
                    <xdr:colOff>276225</xdr:colOff>
                    <xdr:row>4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18" name="Button 21">
              <controlPr defaultSize="0" print="0" autoFill="0" autoPict="0" macro="[0]!btn_Unhide_Ribbon">
                <anchor moveWithCells="1" sizeWithCells="1">
                  <from>
                    <xdr:col>12</xdr:col>
                    <xdr:colOff>85725</xdr:colOff>
                    <xdr:row>4</xdr:row>
                    <xdr:rowOff>590550</xdr:rowOff>
                  </from>
                  <to>
                    <xdr:col>13</xdr:col>
                    <xdr:colOff>276225</xdr:colOff>
                    <xdr:row>4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5" r:id="rId19" name="Button 23">
              <controlPr defaultSize="0" print="0" autoFill="0" autoPict="0" macro="[0]!btn_Resize_Window">
                <anchor moveWithCells="1" sizeWithCells="1">
                  <from>
                    <xdr:col>12</xdr:col>
                    <xdr:colOff>85725</xdr:colOff>
                    <xdr:row>3</xdr:row>
                    <xdr:rowOff>104775</xdr:rowOff>
                  </from>
                  <to>
                    <xdr:col>13</xdr:col>
                    <xdr:colOff>276225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c9670a5-8276-45c3-877e-8eb01aeeb8c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A2EEF511FA194DAA7A86A866E5B6F1" ma:contentTypeVersion="10" ma:contentTypeDescription="Create a new document." ma:contentTypeScope="" ma:versionID="eb3fa6c2f5daab7ebb422adec8e158a0">
  <xsd:schema xmlns:xsd="http://www.w3.org/2001/XMLSchema" xmlns:xs="http://www.w3.org/2001/XMLSchema" xmlns:p="http://schemas.microsoft.com/office/2006/metadata/properties" xmlns:ns3="7c9670a5-8276-45c3-877e-8eb01aeeb8c9" targetNamespace="http://schemas.microsoft.com/office/2006/metadata/properties" ma:root="true" ma:fieldsID="dbe2cdd1c4b3f311242642ed238e5d30" ns3:_="">
    <xsd:import namespace="7c9670a5-8276-45c3-877e-8eb01aeeb8c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9670a5-8276-45c3-877e-8eb01aeeb8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2CAD72-95DE-45DD-94A6-D2E843E8D971}">
  <ds:schemaRefs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c9670a5-8276-45c3-877e-8eb01aeeb8c9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06F1246-4991-4108-9990-3A0D7C7DC6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528039-2777-48F2-9C40-F8FAD06A11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9670a5-8276-45c3-877e-8eb01aeeb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16</vt:i4>
      </vt:variant>
    </vt:vector>
  </HeadingPairs>
  <TitlesOfParts>
    <vt:vector size="20" baseType="lpstr">
      <vt:lpstr>DataSource_0</vt:lpstr>
      <vt:lpstr>DataSource_1</vt:lpstr>
      <vt:lpstr>Sheet1</vt:lpstr>
      <vt:lpstr>Chart_Home</vt:lpstr>
      <vt:lpstr>Cumulative_Savings_vs_Spend</vt:lpstr>
      <vt:lpstr>Net_Cumulative_Savings</vt:lpstr>
      <vt:lpstr>Wireless_Spend_and_Minutes</vt:lpstr>
      <vt:lpstr>YTD_Trending_Charges</vt:lpstr>
      <vt:lpstr>Monthly_Savings_vs_Baseline</vt:lpstr>
      <vt:lpstr>Wireless_Spend_and_Num_Devices</vt:lpstr>
      <vt:lpstr>NetSavings_vs_SourceMobileCost</vt:lpstr>
      <vt:lpstr>Total_Spend_and_Minutes</vt:lpstr>
      <vt:lpstr>MonthlySpend_vs_CumlSavings</vt:lpstr>
      <vt:lpstr>Monthly_Mins_Avg_Cost_perPhone</vt:lpstr>
      <vt:lpstr>Usage_Cost_Per_Minute</vt:lpstr>
      <vt:lpstr>Usage_Overview</vt:lpstr>
      <vt:lpstr>Monthly_Minutes_and_CPM</vt:lpstr>
      <vt:lpstr>Savings_vs_Minutes_of_Use</vt:lpstr>
      <vt:lpstr>Net_Savings_Mins_of_Use</vt:lpstr>
      <vt:lpstr>Cost_Per_Minute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Sweeny</dc:creator>
  <cp:lastModifiedBy>Richard Sweeny</cp:lastModifiedBy>
  <cp:lastPrinted>2023-06-23T00:56:03Z</cp:lastPrinted>
  <dcterms:created xsi:type="dcterms:W3CDTF">2023-05-27T01:21:41Z</dcterms:created>
  <dcterms:modified xsi:type="dcterms:W3CDTF">2023-07-13T22:51:56Z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0x010100E1A2EEF511FA194DAA7A86A866E5B6F1</vt:lpwstr>
  </property>
</Properties>
</file>