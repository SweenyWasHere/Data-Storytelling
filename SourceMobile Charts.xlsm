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chartsheets/sheet3.xml" ContentType="application/vnd.openxmlformats-officedocument.spreadsheetml.chartsheet+xml"/>
  <Override PartName="/xl/chartsheets/sheet4.xml" ContentType="application/vnd.openxmlformats-officedocument.spreadsheetml.chartsheet+xml"/>
  <Override PartName="/xl/chartsheets/sheet5.xml" ContentType="application/vnd.openxmlformats-officedocument.spreadsheetml.chartsheet+xml"/>
  <Override PartName="/xl/chartsheets/sheet6.xml" ContentType="application/vnd.openxmlformats-officedocument.spreadsheetml.chartsheet+xml"/>
  <Override PartName="/xl/chartsheets/sheet7.xml" ContentType="application/vnd.openxmlformats-officedocument.spreadsheetml.chartsheet+xml"/>
  <Override PartName="/xl/chartsheets/sheet8.xml" ContentType="application/vnd.openxmlformats-officedocument.spreadsheetml.chartsheet+xml"/>
  <Override PartName="/xl/chartsheets/sheet9.xml" ContentType="application/vnd.openxmlformats-officedocument.spreadsheetml.chartsheet+xml"/>
  <Override PartName="/xl/chartsheets/sheet10.xml" ContentType="application/vnd.openxmlformats-officedocument.spreadsheetml.chartsheet+xml"/>
  <Override PartName="/xl/chartsheets/sheet11.xml" ContentType="application/vnd.openxmlformats-officedocument.spreadsheetml.chartsheet+xml"/>
  <Override PartName="/xl/chartsheets/sheet12.xml" ContentType="application/vnd.openxmlformats-officedocument.spreadsheetml.chartsheet+xml"/>
  <Override PartName="/xl/chartsheets/sheet13.xml" ContentType="application/vnd.openxmlformats-officedocument.spreadsheetml.chartsheet+xml"/>
  <Override PartName="/xl/chartsheets/sheet14.xml" ContentType="application/vnd.openxmlformats-officedocument.spreadsheetml.chartsheet+xml"/>
  <Override PartName="/xl/chartsheets/sheet15.xml" ContentType="application/vnd.openxmlformats-officedocument.spreadsheetml.chartsheet+xml"/>
  <Override PartName="/xl/chartsheets/sheet16.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harts/chart2.xml" ContentType="application/vnd.openxmlformats-officedocument.drawingml.chart+xml"/>
  <Override PartName="/xl/drawings/drawing8.xml" ContentType="application/vnd.openxmlformats-officedocument.drawingml.chartshapes+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charts/chart4.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charts/chart5.xml" ContentType="application/vnd.openxmlformats-officedocument.drawingml.chart+xml"/>
  <Override PartName="/xl/drawings/drawing14.xml" ContentType="application/vnd.openxmlformats-officedocument.drawingml.chartshapes+xml"/>
  <Override PartName="/xl/drawings/drawing15.xml" ContentType="application/vnd.openxmlformats-officedocument.drawing+xml"/>
  <Override PartName="/xl/charts/chart6.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charts/chart7.xml" ContentType="application/vnd.openxmlformats-officedocument.drawingml.chart+xml"/>
  <Override PartName="/xl/drawings/drawing18.xml" ContentType="application/vnd.openxmlformats-officedocument.drawingml.chartshapes+xml"/>
  <Override PartName="/xl/drawings/drawing19.xml" ContentType="application/vnd.openxmlformats-officedocument.drawing+xml"/>
  <Override PartName="/xl/charts/chart8.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9.xml" ContentType="application/vnd.openxmlformats-officedocument.drawingml.chart+xml"/>
  <Override PartName="/xl/drawings/drawing22.xml" ContentType="application/vnd.openxmlformats-officedocument.drawingml.chartshapes+xml"/>
  <Override PartName="/xl/drawings/drawing23.xml" ContentType="application/vnd.openxmlformats-officedocument.drawing+xml"/>
  <Override PartName="/xl/charts/chart10.xml" ContentType="application/vnd.openxmlformats-officedocument.drawingml.chart+xml"/>
  <Override PartName="/xl/drawings/drawing24.xml" ContentType="application/vnd.openxmlformats-officedocument.drawingml.chartshapes+xml"/>
  <Override PartName="/xl/drawings/drawing25.xml" ContentType="application/vnd.openxmlformats-officedocument.drawing+xml"/>
  <Override PartName="/xl/charts/chart11.xml" ContentType="application/vnd.openxmlformats-officedocument.drawingml.chart+xml"/>
  <Override PartName="/xl/drawings/drawing26.xml" ContentType="application/vnd.openxmlformats-officedocument.drawingml.chartshapes+xml"/>
  <Override PartName="/xl/drawings/drawing27.xml" ContentType="application/vnd.openxmlformats-officedocument.drawing+xml"/>
  <Override PartName="/xl/charts/chart12.xml" ContentType="application/vnd.openxmlformats-officedocument.drawingml.chart+xml"/>
  <Override PartName="/xl/drawings/drawing28.xml" ContentType="application/vnd.openxmlformats-officedocument.drawingml.chartshapes+xml"/>
  <Override PartName="/xl/drawings/drawing29.xml" ContentType="application/vnd.openxmlformats-officedocument.drawing+xml"/>
  <Override PartName="/xl/charts/chart13.xml" ContentType="application/vnd.openxmlformats-officedocument.drawingml.chart+xml"/>
  <Override PartName="/xl/drawings/drawing30.xml" ContentType="application/vnd.openxmlformats-officedocument.drawingml.chartshapes+xml"/>
  <Override PartName="/xl/drawings/drawing31.xml" ContentType="application/vnd.openxmlformats-officedocument.drawing+xml"/>
  <Override PartName="/xl/charts/chart14.xml" ContentType="application/vnd.openxmlformats-officedocument.drawingml.chart+xml"/>
  <Override PartName="/xl/drawings/drawing32.xml" ContentType="application/vnd.openxmlformats-officedocument.drawingml.chartshapes+xml"/>
  <Override PartName="/xl/drawings/drawing33.xml" ContentType="application/vnd.openxmlformats-officedocument.drawing+xml"/>
  <Override PartName="/xl/charts/chart15.xml" ContentType="application/vnd.openxmlformats-officedocument.drawingml.chart+xml"/>
  <Override PartName="/xl/drawings/drawing34.xml" ContentType="application/vnd.openxmlformats-officedocument.drawingml.chartshapes+xml"/>
  <Override PartName="/xl/drawings/drawing35.xml" ContentType="application/vnd.openxmlformats-officedocument.drawing+xml"/>
  <Override PartName="/xl/charts/chart16.xml" ContentType="application/vnd.openxmlformats-officedocument.drawingml.chart+xml"/>
  <Override PartName="/xl/drawings/drawing36.xml" ContentType="application/vnd.openxmlformats-officedocument.drawingml.chartshapes+xml"/>
  <Override PartName="/xl/charts/chart1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C:\Users\rswee\OneDrive - STELLAR SBS LLC\Documents\CODING\GitHub\Repository Files\Data_Storytelling\Staging_Area\"/>
    </mc:Choice>
  </mc:AlternateContent>
  <xr:revisionPtr revIDLastSave="0" documentId="13_ncr:1_{B92BCFE7-3FC3-4B41-A060-8ED89FF7C8EC}" xr6:coauthVersionLast="47" xr6:coauthVersionMax="47" xr10:uidLastSave="{00000000-0000-0000-0000-000000000000}"/>
  <bookViews>
    <workbookView xWindow="1920" yWindow="-11175" windowWidth="13995" windowHeight="9000" tabRatio="893" firstSheet="3" activeTab="3" xr2:uid="{040638B6-681A-4A72-9F87-3265B7C12396}"/>
  </bookViews>
  <sheets>
    <sheet name="DataSource_0" sheetId="63" r:id="rId1"/>
    <sheet name="DataSource_1" sheetId="37" r:id="rId2"/>
    <sheet name="Sheet1" sheetId="66" r:id="rId3"/>
    <sheet name="Chart_Home" sheetId="64" r:id="rId4"/>
    <sheet name="Cumulative_Savings_vs_Spend" sheetId="18" r:id="rId5"/>
    <sheet name="Net_Cumulative_Savings" sheetId="1" r:id="rId6"/>
    <sheet name="Wireless_Spend_and_Minutes" sheetId="3" r:id="rId7"/>
    <sheet name="YTD_Trending_Charges" sheetId="4" r:id="rId8"/>
    <sheet name="Monthly_Savings_vs_Baseline" sheetId="5" r:id="rId9"/>
    <sheet name="Wireless_Spend_and_Num_Devices" sheetId="15" r:id="rId10"/>
    <sheet name="NetSavings_vs_SourceMobileCost" sheetId="6" r:id="rId11"/>
    <sheet name="Total_Spend_and_Minutes" sheetId="7" r:id="rId12"/>
    <sheet name="MonthlySpend_vs_CumlSavings" sheetId="58" r:id="rId13"/>
    <sheet name="Monthly_Mins_Avg_Cost_perPhone" sheetId="9" r:id="rId14"/>
    <sheet name="Usage_Cost_Per_Minute" sheetId="11" r:id="rId15"/>
    <sheet name="Usage_Overview" sheetId="62" r:id="rId16"/>
    <sheet name="Monthly_Minutes_and_CPM" sheetId="12" r:id="rId17"/>
    <sheet name="Savings_vs_Minutes_of_Use" sheetId="13" r:id="rId18"/>
    <sheet name="Net_Savings_Mins_of_Use" sheetId="14" r:id="rId19"/>
    <sheet name="Cost_Per_Minute" sheetId="61" r:id="rId2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1" i="66" l="1"/>
  <c r="C110" i="66"/>
  <c r="C109" i="66"/>
  <c r="C108" i="66"/>
  <c r="C107" i="66"/>
  <c r="C106" i="66"/>
  <c r="C105" i="66"/>
  <c r="C104" i="66"/>
  <c r="C103" i="66"/>
  <c r="C102" i="66"/>
  <c r="C101" i="66"/>
  <c r="C100" i="66"/>
  <c r="C99" i="66"/>
  <c r="C98" i="66"/>
  <c r="C97" i="66"/>
  <c r="C96" i="66"/>
  <c r="AV40" i="37"/>
  <c r="AV40" i="63"/>
</calcChain>
</file>

<file path=xl/sharedStrings.xml><?xml version="1.0" encoding="utf-8"?>
<sst xmlns="http://schemas.openxmlformats.org/spreadsheetml/2006/main" count="192" uniqueCount="126">
  <si>
    <t>Month</t>
  </si>
  <si>
    <t>Cell Phone Growth Rate</t>
  </si>
  <si>
    <t>Monthly Wireless Spend</t>
  </si>
  <si>
    <t>Monthly Wireless Spend Growth Rate</t>
  </si>
  <si>
    <t>Monthly Minutes of Use</t>
  </si>
  <si>
    <t>Monthly Minutes Growth Rate</t>
  </si>
  <si>
    <t>Average Cost/ Phone</t>
  </si>
  <si>
    <t>Cumulative Monthly Savings</t>
  </si>
  <si>
    <t>MobileManager Cost per User</t>
  </si>
  <si>
    <t>Net Monthly Savings</t>
  </si>
  <si>
    <t>Net Cumulative Savings</t>
  </si>
  <si>
    <t>Monthly Mins. of Use</t>
  </si>
  <si>
    <t>Cell Talk Time Growth Rate/Mo.</t>
  </si>
  <si>
    <t>Cost Per Minute</t>
  </si>
  <si>
    <t>Usage Cost</t>
  </si>
  <si>
    <t>12 M Usg Cost Avg</t>
  </si>
  <si>
    <t>Usage Cost Per Min</t>
  </si>
  <si>
    <t>Usg Cost 12 Mo. Avg.</t>
  </si>
  <si>
    <t>Cumulative Wireless Spend</t>
  </si>
  <si>
    <t>Perc Avg Savings Per Month</t>
  </si>
  <si>
    <t>Monthly Savings as % of Spend</t>
  </si>
  <si>
    <t/>
  </si>
  <si>
    <t>Data</t>
  </si>
  <si>
    <t>Cost Per Minute2</t>
  </si>
  <si>
    <t>Num of Users</t>
  </si>
  <si>
    <t>$0.01 - $0.14</t>
  </si>
  <si>
    <t>$0.15 - $0.19</t>
  </si>
  <si>
    <t>$0.20 - $0.24</t>
  </si>
  <si>
    <t>$0.25 - $0.29</t>
  </si>
  <si>
    <t>$0.30 - $0.39</t>
  </si>
  <si>
    <t>$0.40 - $0.49</t>
  </si>
  <si>
    <t>$0.50 - $0.99</t>
  </si>
  <si>
    <t>$1.00 - $5.00</t>
  </si>
  <si>
    <t>Greater than $5.00</t>
  </si>
  <si>
    <t>Grand Total</t>
  </si>
  <si>
    <t>CPM</t>
  </si>
  <si>
    <t>Users</t>
  </si>
  <si>
    <t>19¢ and Less</t>
  </si>
  <si>
    <t>20¢ to 99¢</t>
  </si>
  <si>
    <t>Average Savings/ Phone/ Month</t>
  </si>
  <si>
    <t>Monthly Savings /Phone</t>
  </si>
  <si>
    <t>Non Usage Cost</t>
  </si>
  <si>
    <t>Monthly Savings vs. Baseline</t>
  </si>
  <si>
    <t>Plan Charge</t>
  </si>
  <si>
    <t>Overage Cost</t>
  </si>
  <si>
    <t>Overage Time</t>
  </si>
  <si>
    <t>SourceMobile Data Table</t>
  </si>
  <si>
    <t xml:space="preserve">
</t>
  </si>
  <si>
    <t>No. of Devices</t>
  </si>
  <si>
    <t>Long Distance Cost</t>
  </si>
  <si>
    <t>Long Distance Time</t>
  </si>
  <si>
    <t>Roamng Time</t>
  </si>
  <si>
    <t>Roaming Charge</t>
  </si>
  <si>
    <t>Two Way Radio Time</t>
  </si>
  <si>
    <t>International Calling Charge</t>
  </si>
  <si>
    <t>Cumulative Savings As % of Spend</t>
  </si>
  <si>
    <t>Cost Per Minute Distribution</t>
  </si>
  <si>
    <t>Wireless Spend &amp; Minutes</t>
  </si>
  <si>
    <t>Year-To-Date Trending</t>
  </si>
  <si>
    <t>Monthly Savings 
vs. Baseline</t>
  </si>
  <si>
    <t>Wireless Spend &amp; 
No. of Devices</t>
  </si>
  <si>
    <t>Total Spend &amp; Minutes</t>
  </si>
  <si>
    <t>Monthly Spend vs. Cum. Savings</t>
  </si>
  <si>
    <t>Monthly Min. &amp; 
Avg Cost/Phone</t>
  </si>
  <si>
    <t>Usage Overview</t>
  </si>
  <si>
    <t>Monthly Min. &amp; Cost Per Min.</t>
  </si>
  <si>
    <t>Savings vs Minutes of Use Comp</t>
  </si>
  <si>
    <t>Net Savings &amp; Minutes of Use</t>
  </si>
  <si>
    <t>Charts</t>
  </si>
  <si>
    <t>Chart Codes</t>
  </si>
  <si>
    <t>CSS</t>
  </si>
  <si>
    <t>YTDTC</t>
  </si>
  <si>
    <t>NCS</t>
  </si>
  <si>
    <t>WSM</t>
  </si>
  <si>
    <t>MSB</t>
  </si>
  <si>
    <t>NSSC</t>
  </si>
  <si>
    <t>TSM</t>
  </si>
  <si>
    <t>MSC</t>
  </si>
  <si>
    <t>MMACP</t>
  </si>
  <si>
    <t>UCPM</t>
  </si>
  <si>
    <t>MMC</t>
  </si>
  <si>
    <t>SMU</t>
  </si>
  <si>
    <t>WSND</t>
  </si>
  <si>
    <t>UO</t>
  </si>
  <si>
    <t>Cumulative_Savings_vs_Spend</t>
  </si>
  <si>
    <t>YTD_Trending_Charges</t>
  </si>
  <si>
    <t>Net_Cumulative_Savings</t>
  </si>
  <si>
    <t>Wireless_Spend_and_Minutes</t>
  </si>
  <si>
    <t>Monthly_Savings_vs_Baseline</t>
  </si>
  <si>
    <t>NetSavings_vs_SourceMobile_Cost</t>
  </si>
  <si>
    <t>Total_Spend_and_Minutes</t>
  </si>
  <si>
    <t>MonthlySpend_vs_CumlSavings</t>
  </si>
  <si>
    <t>Monthly_Mins_Avg_Cost_perPhone</t>
  </si>
  <si>
    <t>Usage_Cost_Per_Minute</t>
  </si>
  <si>
    <t>Monthly_Minutes_and_CPM</t>
  </si>
  <si>
    <t>Savings_vs_Minutes_of_Use</t>
  </si>
  <si>
    <t>Wireless_Spend_and_Num_Devices</t>
  </si>
  <si>
    <t>Usage_Overview</t>
  </si>
  <si>
    <t>Cost_per_Minute</t>
  </si>
  <si>
    <t>mod_Buttons</t>
  </si>
  <si>
    <t xml:space="preserve">Net Savings vs. SourceMobile Cost </t>
  </si>
  <si>
    <t>Net Savings &amp; Mins of Use</t>
  </si>
  <si>
    <t>NSMU</t>
  </si>
  <si>
    <t>Worksheets &amp; Charts</t>
  </si>
  <si>
    <t>Index No: 1. Worksheet Chart_Components</t>
  </si>
  <si>
    <t>Index No: 2. Worksheet DataSource_0</t>
  </si>
  <si>
    <t>Index No: 3. Worksheet DataSource_1</t>
  </si>
  <si>
    <t>Index No: 4. Worksheet Sheet1</t>
  </si>
  <si>
    <t>Index No: 5. Worksheet Chart_Home</t>
  </si>
  <si>
    <t>Index No: 6. Chart Sheet: Cumulative_Savings_vs_Spend</t>
  </si>
  <si>
    <t>Index No: 7. Chart Sheet: Net_Cumulative_Savings</t>
  </si>
  <si>
    <t>Index No: 8. Chart Sheet: Cost_Per_Minute</t>
  </si>
  <si>
    <t>Index No: 9. Chart Sheet: Wireless_Spend_and_Minutes</t>
  </si>
  <si>
    <t>Index No: 10. Chart Sheet: YTD_Trending_Charges</t>
  </si>
  <si>
    <t>Index No: 11. Chart Sheet: Monthly_Savings_vs_Baseline</t>
  </si>
  <si>
    <t>Index No: 12. Chart Sheet: Wireless_Spend_and_Num_Devices</t>
  </si>
  <si>
    <t>Index No: 13. Chart Sheet: NetSavings_vs_SourceMobileCost</t>
  </si>
  <si>
    <t>Index No: 14. Chart Sheet: Total_Spend_and_Minutes</t>
  </si>
  <si>
    <t>Index No: 15. Chart Sheet: MonthlySpend_vs_CumlSavings</t>
  </si>
  <si>
    <t>Index No: 16. Chart Sheet: Monthly_Mins_Avg_Cost_perPhone</t>
  </si>
  <si>
    <t>Index No: 17. Chart Sheet: Usage_Cost_Per_Minute</t>
  </si>
  <si>
    <t>Index No: 18. Chart Sheet: Usage_Overview</t>
  </si>
  <si>
    <t>Index No: 19. Chart Sheet: Monthly_Minutes_and_CPM</t>
  </si>
  <si>
    <t>Index No: 20. Chart Sheet: Savings_vs_Minutes_of_Use</t>
  </si>
  <si>
    <t>Index No: 21. Chart Sheet: Net_Savings_Mins_of_Use</t>
  </si>
  <si>
    <t>PROPRIETARY and CONFIDENTIAL!
All objects and VBA code in this workbook are the property of its author, Richard Sweeny, (except where publicly available routines are used). 
By viewing this, you agree that only those involved in the hiring process for a position Richard Sweeny may be qualified for will view, save or share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</si>
</sst>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quot;$&quot;* #,##0.00_);_(&quot;$&quot;* \(#,##0.00\);_(&quot;$&quot;* &quot;-&quot;??_);_(@_)"/>
    <numFmt numFmtId="43" formatCode="_(* #,##0.00_);_(* \(#,##0.00\);_(* &quot;-&quot;??_);_(@_)"/>
    <numFmt numFmtId="164" formatCode="0.0%"/>
    <numFmt numFmtId="165" formatCode="&quot;$&quot;#,##0.00"/>
    <numFmt numFmtId="166" formatCode="mmm\ yyyy"/>
    <numFmt numFmtId="167" formatCode="&quot;$&quot;#,##0"/>
  </numFmts>
  <fonts count="21" x14ac:knownFonts="1">
    <font>
      <sz val="11"/>
      <color theme="1"/>
      <name val="Calibri"/>
      <family val="2"/>
      <scheme val="minor"/>
    </font>
    <font>
      <sz val="10"/>
      <name val="Arial"/>
      <family val="2"/>
    </font>
    <font>
      <sz val="10"/>
      <name val="MS Sans Serif"/>
      <family val="2"/>
    </font>
    <font>
      <b/>
      <sz val="10"/>
      <name val="MS Sans Serif"/>
      <family val="2"/>
    </font>
    <font>
      <b/>
      <sz val="20"/>
      <name val="Times New Roman"/>
      <family val="1"/>
    </font>
    <font>
      <sz val="10"/>
      <color theme="0"/>
      <name val="Arial"/>
      <family val="2"/>
    </font>
    <font>
      <b/>
      <sz val="10"/>
      <name val="Arial"/>
      <family val="2"/>
    </font>
    <font>
      <b/>
      <sz val="8"/>
      <color rgb="FF000000"/>
      <name val="Verdana"/>
      <family val="2"/>
    </font>
    <font>
      <sz val="10"/>
      <color indexed="10"/>
      <name val="Arial"/>
      <family val="2"/>
    </font>
    <font>
      <sz val="10"/>
      <color indexed="9"/>
      <name val="Arial"/>
      <family val="2"/>
    </font>
    <font>
      <b/>
      <sz val="8"/>
      <color indexed="9"/>
      <name val="Verdana"/>
      <family val="2"/>
    </font>
    <font>
      <b/>
      <sz val="10"/>
      <color indexed="9"/>
      <name val="MS Sans Serif"/>
      <family val="2"/>
    </font>
    <font>
      <b/>
      <sz val="10"/>
      <color indexed="9"/>
      <name val="Arial"/>
      <family val="2"/>
    </font>
    <font>
      <sz val="12"/>
      <color theme="1"/>
      <name val="Calibri"/>
      <family val="2"/>
      <scheme val="minor"/>
    </font>
    <font>
      <b/>
      <sz val="11"/>
      <color theme="1"/>
      <name val="Calibri"/>
      <family val="2"/>
      <scheme val="minor"/>
    </font>
    <font>
      <sz val="9"/>
      <color rgb="FF333333"/>
      <name val="Arial"/>
      <family val="2"/>
    </font>
    <font>
      <b/>
      <sz val="16"/>
      <color theme="0"/>
      <name val="Arial"/>
      <family val="2"/>
    </font>
    <font>
      <sz val="9"/>
      <color rgb="FF000000"/>
      <name val="Calibri"/>
      <family val="2"/>
    </font>
    <font>
      <u/>
      <sz val="9"/>
      <color rgb="FFFF0000"/>
      <name val="Calibri"/>
      <family val="2"/>
    </font>
    <font>
      <b/>
      <sz val="9"/>
      <color rgb="FF0066CC"/>
      <name val="Calibri"/>
      <family val="2"/>
    </font>
    <font>
      <b/>
      <sz val="12"/>
      <color rgb="FFFFFFFF"/>
      <name val="Calibri"/>
      <family val="2"/>
      <scheme val="minor"/>
    </font>
  </fonts>
  <fills count="7">
    <fill>
      <patternFill patternType="none"/>
    </fill>
    <fill>
      <patternFill patternType="gray125"/>
    </fill>
    <fill>
      <patternFill patternType="solid">
        <fgColor theme="4"/>
        <bgColor indexed="64"/>
      </patternFill>
    </fill>
    <fill>
      <patternFill patternType="solid">
        <fgColor indexed="8"/>
        <bgColor indexed="64"/>
      </patternFill>
    </fill>
    <fill>
      <patternFill patternType="solid">
        <fgColor indexed="56"/>
        <bgColor indexed="64"/>
      </patternFill>
    </fill>
    <fill>
      <patternFill patternType="solid">
        <fgColor theme="0" tint="-0.14999847407452621"/>
        <bgColor indexed="64"/>
      </patternFill>
    </fill>
    <fill>
      <patternFill patternType="solid">
        <fgColor rgb="FF003366"/>
        <bgColor indexed="64"/>
      </patternFill>
    </fill>
  </fills>
  <borders count="1">
    <border>
      <left/>
      <right/>
      <top/>
      <bottom/>
      <diagonal/>
    </border>
  </borders>
  <cellStyleXfs count="6">
    <xf numFmtId="0" fontId="0" fillId="0" borderId="0"/>
    <xf numFmtId="0" fontId="2" fillId="0" borderId="0"/>
    <xf numFmtId="0" fontId="1"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cellStyleXfs>
  <cellXfs count="39">
    <xf numFmtId="0" fontId="0" fillId="0" borderId="0" xfId="0"/>
    <xf numFmtId="0" fontId="2" fillId="0" borderId="0" xfId="1"/>
    <xf numFmtId="0" fontId="3" fillId="0" borderId="0" xfId="1" quotePrefix="1" applyFont="1"/>
    <xf numFmtId="0" fontId="3" fillId="0" borderId="0" xfId="1" applyFont="1"/>
    <xf numFmtId="0" fontId="1" fillId="0" borderId="0" xfId="2"/>
    <xf numFmtId="49" fontId="3" fillId="0" borderId="0" xfId="2" applyNumberFormat="1" applyFont="1" applyAlignment="1">
      <alignment horizontal="center"/>
    </xf>
    <xf numFmtId="0" fontId="1" fillId="0" borderId="0" xfId="2" applyAlignment="1">
      <alignment horizontal="right"/>
    </xf>
    <xf numFmtId="0" fontId="4" fillId="0" borderId="0" xfId="2" applyFont="1"/>
    <xf numFmtId="166" fontId="1" fillId="0" borderId="0" xfId="2" applyNumberFormat="1"/>
    <xf numFmtId="10" fontId="1" fillId="0" borderId="0" xfId="2" applyNumberFormat="1"/>
    <xf numFmtId="3" fontId="1" fillId="0" borderId="0" xfId="2" applyNumberFormat="1"/>
    <xf numFmtId="165" fontId="1" fillId="0" borderId="0" xfId="2" applyNumberFormat="1"/>
    <xf numFmtId="167" fontId="1" fillId="0" borderId="0" xfId="2" applyNumberFormat="1"/>
    <xf numFmtId="4" fontId="1" fillId="0" borderId="0" xfId="2" applyNumberFormat="1"/>
    <xf numFmtId="164" fontId="1" fillId="0" borderId="0" xfId="2" applyNumberFormat="1"/>
    <xf numFmtId="0" fontId="5" fillId="0" borderId="0" xfId="2" applyFont="1" applyAlignment="1">
      <alignment wrapText="1"/>
    </xf>
    <xf numFmtId="0" fontId="5" fillId="2" borderId="0" xfId="2" applyFont="1" applyFill="1" applyAlignment="1">
      <alignment wrapText="1"/>
    </xf>
    <xf numFmtId="0" fontId="1" fillId="0" borderId="0" xfId="2" applyAlignment="1">
      <alignment wrapText="1"/>
    </xf>
    <xf numFmtId="0" fontId="1" fillId="0" borderId="0" xfId="0" applyFont="1"/>
    <xf numFmtId="0" fontId="8" fillId="3" borderId="0" xfId="2" applyFont="1" applyFill="1"/>
    <xf numFmtId="0" fontId="9" fillId="4" borderId="0" xfId="2" applyFont="1" applyFill="1"/>
    <xf numFmtId="0" fontId="1" fillId="4" borderId="0" xfId="2" applyFill="1"/>
    <xf numFmtId="0" fontId="2" fillId="4" borderId="0" xfId="1" applyFill="1" applyAlignment="1">
      <alignment horizontal="center"/>
    </xf>
    <xf numFmtId="0" fontId="2" fillId="4" borderId="0" xfId="1" applyFill="1"/>
    <xf numFmtId="0" fontId="10" fillId="4" borderId="0" xfId="1" applyFont="1" applyFill="1" applyAlignment="1">
      <alignment horizontal="center" vertical="top" wrapText="1"/>
    </xf>
    <xf numFmtId="0" fontId="2" fillId="4" borderId="0" xfId="1" applyFill="1" applyAlignment="1">
      <alignment horizontal="center" vertical="top" wrapText="1"/>
    </xf>
    <xf numFmtId="0" fontId="2" fillId="0" borderId="0" xfId="1" applyAlignment="1">
      <alignment horizontal="center" vertical="top" wrapText="1"/>
    </xf>
    <xf numFmtId="0" fontId="11" fillId="4" borderId="0" xfId="1" applyFont="1" applyFill="1" applyAlignment="1">
      <alignment horizontal="center"/>
    </xf>
    <xf numFmtId="0" fontId="12" fillId="4" borderId="0" xfId="2" applyFont="1" applyFill="1" applyAlignment="1">
      <alignment horizontal="center" wrapText="1"/>
    </xf>
    <xf numFmtId="0" fontId="6" fillId="4" borderId="0" xfId="2" applyFont="1" applyFill="1" applyAlignment="1">
      <alignment horizontal="center" wrapText="1"/>
    </xf>
    <xf numFmtId="0" fontId="6" fillId="0" borderId="0" xfId="2" applyFont="1" applyAlignment="1">
      <alignment horizontal="center" wrapText="1"/>
    </xf>
    <xf numFmtId="0" fontId="9" fillId="0" borderId="0" xfId="2" applyFont="1"/>
    <xf numFmtId="0" fontId="13" fillId="0" borderId="0" xfId="0" applyFont="1" applyAlignment="1">
      <alignment horizontal="center" vertical="center"/>
    </xf>
    <xf numFmtId="0" fontId="14" fillId="5" borderId="0" xfId="0" applyFont="1" applyFill="1"/>
    <xf numFmtId="0" fontId="0" fillId="0" borderId="0" xfId="0" applyAlignment="1">
      <alignment wrapText="1"/>
    </xf>
    <xf numFmtId="0" fontId="16" fillId="3" borderId="0" xfId="2" applyFont="1" applyFill="1" applyAlignment="1">
      <alignment horizontal="center"/>
    </xf>
    <xf numFmtId="0" fontId="2" fillId="6" borderId="0" xfId="1" applyFill="1"/>
    <xf numFmtId="0" fontId="6" fillId="6" borderId="0" xfId="2" applyFont="1" applyFill="1" applyAlignment="1">
      <alignment horizontal="center" wrapText="1"/>
    </xf>
    <xf numFmtId="0" fontId="20" fillId="6" borderId="0" xfId="0" applyFont="1" applyFill="1" applyAlignment="1">
      <alignment horizontal="center" wrapText="1"/>
    </xf>
  </cellXfs>
  <cellStyles count="6">
    <cellStyle name="Comma 2" xfId="4" xr:uid="{2651244E-CF4B-4821-BD86-A19F46C17C9A}"/>
    <cellStyle name="Currency 2" xfId="5" xr:uid="{21D76956-14F8-475D-9875-DDE946A76E50}"/>
    <cellStyle name="Normal" xfId="0" builtinId="0"/>
    <cellStyle name="Normal 2" xfId="2" xr:uid="{8AED1D39-4C61-4ED4-9194-2EADCA69E732}"/>
    <cellStyle name="Normal__Svngs_By_Month" xfId="1" xr:uid="{4FD8CFB0-6A4D-40CF-959C-E44D5AE2402D}"/>
    <cellStyle name="Percent 2" xfId="3" xr:uid="{784BC04B-210C-4504-9100-56A74B913F9A}"/>
  </cellStyles>
  <dxfs count="134">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4" formatCode="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4" formatCode="#,##0.0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6" formatCode="mmm\ yyyy"/>
    </dxf>
    <dxf>
      <font>
        <strike val="0"/>
        <outline val="0"/>
        <shadow val="0"/>
        <u val="none"/>
        <vertAlign val="baseline"/>
        <sz val="10"/>
        <color theme="0"/>
        <name val="Arial"/>
        <family val="2"/>
        <scheme val="none"/>
      </font>
      <alignment horizontal="general" vertical="bottom" textRotation="0" wrapText="1"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4" formatCode="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4" formatCode="#,##0.0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65" formatCode="&quot;$&quot;#,##0.0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3" formatCode="#,##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numFmt numFmtId="167" formatCode="&quot;$&quot;#,##0"/>
    </dxf>
    <dxf>
      <font>
        <b val="0"/>
        <i val="0"/>
        <strike val="0"/>
        <condense val="0"/>
        <extend val="0"/>
        <outline val="0"/>
        <shadow val="0"/>
        <u val="none"/>
        <vertAlign val="baseline"/>
        <sz val="10"/>
        <color auto="1"/>
        <name val="Arial"/>
        <family val="2"/>
        <scheme val="none"/>
      </font>
    </dxf>
    <dxf>
      <numFmt numFmtId="14" formatCode="0.0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66" formatCode="mmm\ yyyy"/>
    </dxf>
    <dxf>
      <font>
        <strike val="0"/>
        <outline val="0"/>
        <shadow val="0"/>
        <u val="none"/>
        <vertAlign val="baseline"/>
        <sz val="10"/>
        <color theme="0"/>
        <name val="Arial"/>
        <family val="2"/>
        <scheme val="none"/>
      </font>
      <alignment horizontal="general" vertical="bottom" textRotation="0" wrapText="1" indent="0" justifyLastLine="0" shrinkToFit="0" readingOrder="0"/>
    </dxf>
  </dxfs>
  <tableStyles count="1" defaultTableStyle="TableStyleMedium2" defaultPivotStyle="PivotStyleLight16">
    <tableStyle name="Invisible" pivot="0" table="0" count="0" xr9:uid="{B78BEB07-C019-4B2B-8BD3-F69831F1440B}"/>
  </tableStyles>
  <colors>
    <mruColors>
      <color rgb="FF003366"/>
      <color rgb="FFFF9999"/>
      <color rgb="FF00CC66"/>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hartsheet" Target="chartsheets/sheet4.xml"/><Relationship Id="rId13" Type="http://schemas.openxmlformats.org/officeDocument/2006/relationships/chartsheet" Target="chartsheets/sheet9.xml"/><Relationship Id="rId18" Type="http://schemas.openxmlformats.org/officeDocument/2006/relationships/chartsheet" Target="chartsheets/sheet14.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chartsheet" Target="chartsheets/sheet3.xml"/><Relationship Id="rId12" Type="http://schemas.openxmlformats.org/officeDocument/2006/relationships/chartsheet" Target="chartsheets/sheet8.xml"/><Relationship Id="rId17" Type="http://schemas.openxmlformats.org/officeDocument/2006/relationships/chartsheet" Target="chartsheets/sheet13.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hartsheet" Target="chartsheets/sheet12.xml"/><Relationship Id="rId20" Type="http://schemas.openxmlformats.org/officeDocument/2006/relationships/chartsheet" Target="chartsheets/sheet16.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chartsheet" Target="chartsheets/sheet7.xml"/><Relationship Id="rId24"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chartsheet" Target="chartsheets/sheet11.xml"/><Relationship Id="rId23" Type="http://schemas.openxmlformats.org/officeDocument/2006/relationships/sharedStrings" Target="sharedStrings.xml"/><Relationship Id="rId10" Type="http://schemas.openxmlformats.org/officeDocument/2006/relationships/chartsheet" Target="chartsheets/sheet6.xml"/><Relationship Id="rId19" Type="http://schemas.openxmlformats.org/officeDocument/2006/relationships/chartsheet" Target="chartsheets/sheet15.xml"/><Relationship Id="rId4" Type="http://schemas.openxmlformats.org/officeDocument/2006/relationships/worksheet" Target="worksheets/sheet4.xml"/><Relationship Id="rId9" Type="http://schemas.openxmlformats.org/officeDocument/2006/relationships/chartsheet" Target="chartsheets/sheet5.xml"/><Relationship Id="rId14" Type="http://schemas.openxmlformats.org/officeDocument/2006/relationships/chartsheet" Target="chartsheets/sheet10.xml"/><Relationship Id="rId22" Type="http://schemas.openxmlformats.org/officeDocument/2006/relationships/styles" Target="style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1.xml"/><Relationship Id="rId1" Type="http://schemas.microsoft.com/office/2011/relationships/chartStyle" Target="style1.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26.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900" b="1" i="0" u="sng" strike="noStrike" baseline="0">
                <a:solidFill>
                  <a:srgbClr val="000000"/>
                </a:solidFill>
                <a:latin typeface="Arial"/>
                <a:ea typeface="Arial"/>
                <a:cs typeface="Arial"/>
              </a:defRPr>
            </a:pPr>
            <a:r>
              <a:rPr lang="en-US"/>
              <a:t>Cumulative Savings as % of Total Spend</a:t>
            </a:r>
          </a:p>
        </c:rich>
      </c:tx>
      <c:layout>
        <c:manualLayout>
          <c:xMode val="edge"/>
          <c:yMode val="edge"/>
          <c:x val="0.23814541622760801"/>
          <c:y val="7.7574047954866013E-2"/>
        </c:manualLayout>
      </c:layout>
      <c:overlay val="0"/>
      <c:spPr>
        <a:noFill/>
        <a:ln w="25400">
          <a:noFill/>
        </a:ln>
      </c:spPr>
    </c:title>
    <c:autoTitleDeleted val="0"/>
    <c:plotArea>
      <c:layout>
        <c:manualLayout>
          <c:layoutTarget val="inner"/>
          <c:xMode val="edge"/>
          <c:yMode val="edge"/>
          <c:x val="0.16121412140903721"/>
          <c:y val="0.22340300757059278"/>
          <c:w val="0.75974710221285569"/>
          <c:h val="0.59726471657192537"/>
        </c:manualLayout>
      </c:layout>
      <c:areaChart>
        <c:grouping val="standard"/>
        <c:varyColors val="0"/>
        <c:ser>
          <c:idx val="0"/>
          <c:order val="1"/>
          <c:tx>
            <c:v>Monthly Wireless Spend</c:v>
          </c:tx>
          <c:spPr>
            <a:gradFill rotWithShape="0">
              <a:gsLst>
                <a:gs pos="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12700">
              <a:solidFill>
                <a:srgbClr val="000000"/>
              </a:solidFill>
              <a:prstDash val="solid"/>
            </a:ln>
          </c:spPr>
          <c:dLbls>
            <c:dLbl>
              <c:idx val="0"/>
              <c:layout>
                <c:manualLayout>
                  <c:x val="1.4077425396296151E-3"/>
                  <c:y val="-0.237575747498046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34F-4172-8C81-EFA708298667}"/>
                </c:ext>
              </c:extLst>
            </c:dLbl>
            <c:dLbl>
              <c:idx val="1"/>
              <c:layout>
                <c:manualLayout>
                  <c:x val="-7.0387126981481017E-3"/>
                  <c:y val="-0.263973052775606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34F-4172-8C81-EFA708298667}"/>
                </c:ext>
              </c:extLst>
            </c:dLbl>
            <c:dLbl>
              <c:idx val="2"/>
              <c:layout>
                <c:manualLayout>
                  <c:x val="-2.8154850792592302E-3"/>
                  <c:y val="-0.160269353470904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34F-4172-8C81-EFA708298667}"/>
                </c:ext>
              </c:extLst>
            </c:dLbl>
            <c:dLbl>
              <c:idx val="3"/>
              <c:layout>
                <c:manualLayout>
                  <c:x val="1.4077425396295635E-3"/>
                  <c:y val="-0.205521876803865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C34F-4172-8C81-EFA708298667}"/>
                </c:ext>
              </c:extLst>
            </c:dLbl>
            <c:dLbl>
              <c:idx val="4"/>
              <c:layout>
                <c:manualLayout>
                  <c:x val="0"/>
                  <c:y val="-0.216835007637105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34F-4172-8C81-EFA708298667}"/>
                </c:ext>
              </c:extLst>
            </c:dLbl>
            <c:dLbl>
              <c:idx val="5"/>
              <c:layout>
                <c:manualLayout>
                  <c:x val="1.4077425396295119E-3"/>
                  <c:y val="-0.207407398609405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C34F-4172-8C81-EFA708298667}"/>
                </c:ext>
              </c:extLst>
            </c:dLbl>
            <c:dLbl>
              <c:idx val="6"/>
              <c:layout>
                <c:manualLayout>
                  <c:x val="2.8154850792592302E-3"/>
                  <c:y val="-0.203636354998325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C34F-4172-8C81-EFA708298667}"/>
                </c:ext>
              </c:extLst>
            </c:dLbl>
            <c:dLbl>
              <c:idx val="7"/>
              <c:layout>
                <c:manualLayout>
                  <c:x val="0"/>
                  <c:y val="-0.203636354998325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C34F-4172-8C81-EFA708298667}"/>
                </c:ext>
              </c:extLst>
            </c:dLbl>
            <c:dLbl>
              <c:idx val="8"/>
              <c:layout>
                <c:manualLayout>
                  <c:x val="1.4077425396296151E-3"/>
                  <c:y val="-0.199865311387245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34F-4172-8C81-EFA708298667}"/>
                </c:ext>
              </c:extLst>
            </c:dLbl>
            <c:dLbl>
              <c:idx val="9"/>
              <c:layout>
                <c:manualLayout>
                  <c:x val="1.4077425396295119E-3"/>
                  <c:y val="-0.2074073986094054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C34F-4172-8C81-EFA708298667}"/>
                </c:ext>
              </c:extLst>
            </c:dLbl>
            <c:dLbl>
              <c:idx val="10"/>
              <c:layout>
                <c:manualLayout>
                  <c:x val="-1.0323326034673901E-16"/>
                  <c:y val="-0.199865311387245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C34F-4172-8C81-EFA708298667}"/>
                </c:ext>
              </c:extLst>
            </c:dLbl>
            <c:dLbl>
              <c:idx val="11"/>
              <c:layout>
                <c:manualLayout>
                  <c:x val="-2.8154850792594366E-3"/>
                  <c:y val="-0.194208745970625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C34F-4172-8C81-EFA708298667}"/>
                </c:ext>
              </c:extLst>
            </c:dLbl>
            <c:spPr>
              <a:noFill/>
              <a:ln>
                <a:noFill/>
              </a:ln>
              <a:effectLst/>
            </c:spPr>
            <c:txPr>
              <a:bodyPr wrap="square" lIns="38100" tIns="19050" rIns="38100" bIns="19050" anchor="ctr">
                <a:spAutoFit/>
              </a:bodyPr>
              <a:lstStyle/>
              <a:p>
                <a:pPr>
                  <a:defRPr>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extLst>
            <c:ext xmlns:c16="http://schemas.microsoft.com/office/drawing/2014/chart" uri="{C3380CC4-5D6E-409C-BE32-E72D297353CC}">
              <c16:uniqueId val="{00000000-0725-4016-BBC4-5B9544EA990B}"/>
            </c:ext>
          </c:extLst>
        </c:ser>
        <c:dLbls>
          <c:showLegendKey val="0"/>
          <c:showVal val="0"/>
          <c:showCatName val="0"/>
          <c:showSerName val="0"/>
          <c:showPercent val="0"/>
          <c:showBubbleSize val="0"/>
        </c:dLbls>
        <c:axId val="182330880"/>
        <c:axId val="182332416"/>
      </c:areaChart>
      <c:barChart>
        <c:barDir val="col"/>
        <c:grouping val="clustered"/>
        <c:varyColors val="0"/>
        <c:ser>
          <c:idx val="13"/>
          <c:order val="0"/>
          <c:tx>
            <c:v>Perc Avg Savings Per Month</c:v>
          </c:tx>
          <c:spPr>
            <a:gradFill rotWithShape="0">
              <a:gsLst>
                <a:gs pos="0">
                  <a:srgbClr xmlns:mc="http://schemas.openxmlformats.org/markup-compatibility/2006" xmlns:a14="http://schemas.microsoft.com/office/drawing/2010/main" val="003300" mc:Ignorable="a14" a14:legacySpreadsheetColorIndex="17">
                    <a:gamma/>
                    <a:shade val="40000"/>
                    <a:invGamma/>
                  </a:srgbClr>
                </a:gs>
                <a:gs pos="100000">
                  <a:srgbClr xmlns:mc="http://schemas.openxmlformats.org/markup-compatibility/2006" xmlns:a14="http://schemas.microsoft.com/office/drawing/2010/main" val="008000" mc:Ignorable="a14" a14:legacySpreadsheetColorIndex="17"/>
                </a:gs>
              </a:gsLst>
              <a:lin ang="0" scaled="1"/>
            </a:gradFill>
            <a:ln w="12700">
              <a:solidFill>
                <a:srgbClr val="000000"/>
              </a:solidFill>
              <a:prstDash val="solid"/>
            </a:ln>
            <a:effectLst>
              <a:outerShdw dist="35921" dir="2700000" algn="br">
                <a:srgbClr val="000000"/>
              </a:outerShdw>
            </a:effectLst>
          </c:spPr>
          <c:invertIfNegative val="0"/>
          <c:dPt>
            <c:idx val="10"/>
            <c:invertIfNegative val="0"/>
            <c:bubble3D val="0"/>
            <c:extLst>
              <c:ext xmlns:c16="http://schemas.microsoft.com/office/drawing/2014/chart" uri="{C3380CC4-5D6E-409C-BE32-E72D297353CC}">
                <c16:uniqueId val="{00000001-0725-4016-BBC4-5B9544EA990B}"/>
              </c:ext>
            </c:extLst>
          </c:dPt>
          <c:dLbls>
            <c:spPr>
              <a:noFill/>
              <a:ln w="25400">
                <a:noFill/>
              </a:ln>
            </c:spPr>
            <c:txPr>
              <a:bodyPr/>
              <a:lstStyle/>
              <a:p>
                <a:pPr>
                  <a:defRPr sz="105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DataSource_1!$AI$5:$AI$16</c:f>
              <c:numCache>
                <c:formatCode>0.0%</c:formatCode>
                <c:ptCount val="12"/>
                <c:pt idx="0">
                  <c:v>5.5089763823468363E-2</c:v>
                </c:pt>
                <c:pt idx="1">
                  <c:v>0</c:v>
                </c:pt>
                <c:pt idx="2">
                  <c:v>0.46574325947473705</c:v>
                </c:pt>
                <c:pt idx="3">
                  <c:v>0.42442362658167876</c:v>
                </c:pt>
                <c:pt idx="4">
                  <c:v>0.46917493963124896</c:v>
                </c:pt>
                <c:pt idx="5">
                  <c:v>0.47928339233987666</c:v>
                </c:pt>
                <c:pt idx="6">
                  <c:v>0.43750390442917841</c:v>
                </c:pt>
                <c:pt idx="7">
                  <c:v>0.45629020874639997</c:v>
                </c:pt>
                <c:pt idx="8">
                  <c:v>0.43689076603157578</c:v>
                </c:pt>
                <c:pt idx="9">
                  <c:v>0.44121871426127901</c:v>
                </c:pt>
                <c:pt idx="10">
                  <c:v>0.45189229164967815</c:v>
                </c:pt>
                <c:pt idx="11">
                  <c:v>0.4551885237133888</c:v>
                </c:pt>
              </c:numCache>
            </c:numRef>
          </c:val>
          <c:extLst>
            <c:ext xmlns:c16="http://schemas.microsoft.com/office/drawing/2014/chart" uri="{C3380CC4-5D6E-409C-BE32-E72D297353CC}">
              <c16:uniqueId val="{00000002-0725-4016-BBC4-5B9544EA990B}"/>
            </c:ext>
          </c:extLst>
        </c:ser>
        <c:dLbls>
          <c:showLegendKey val="0"/>
          <c:showVal val="0"/>
          <c:showCatName val="0"/>
          <c:showSerName val="0"/>
          <c:showPercent val="0"/>
          <c:showBubbleSize val="0"/>
        </c:dLbls>
        <c:gapWidth val="25"/>
        <c:axId val="182338304"/>
        <c:axId val="182339840"/>
      </c:barChart>
      <c:dateAx>
        <c:axId val="182330880"/>
        <c:scaling>
          <c:orientation val="minMax"/>
        </c:scaling>
        <c:delete val="1"/>
        <c:axPos val="b"/>
        <c:majorGridlines>
          <c:spPr>
            <a:ln w="3175">
              <a:solidFill>
                <a:srgbClr val="000000"/>
              </a:solidFill>
              <a:prstDash val="solid"/>
            </a:ln>
          </c:spPr>
        </c:majorGridlines>
        <c:numFmt formatCode="mmm\ yyyy" sourceLinked="1"/>
        <c:majorTickMark val="out"/>
        <c:minorTickMark val="none"/>
        <c:tickLblPos val="nextTo"/>
        <c:crossAx val="182332416"/>
        <c:crosses val="autoZero"/>
        <c:auto val="1"/>
        <c:lblOffset val="100"/>
        <c:baseTimeUnit val="months"/>
        <c:minorUnit val="1"/>
      </c:dateAx>
      <c:valAx>
        <c:axId val="18233241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82330880"/>
        <c:crosses val="autoZero"/>
        <c:crossBetween val="midCat"/>
      </c:valAx>
      <c:dateAx>
        <c:axId val="182338304"/>
        <c:scaling>
          <c:orientation val="minMax"/>
        </c:scaling>
        <c:delete val="1"/>
        <c:axPos val="b"/>
        <c:numFmt formatCode="mmm\ yyyy" sourceLinked="1"/>
        <c:majorTickMark val="out"/>
        <c:minorTickMark val="none"/>
        <c:tickLblPos val="nextTo"/>
        <c:crossAx val="182339840"/>
        <c:crosses val="autoZero"/>
        <c:auto val="1"/>
        <c:lblOffset val="100"/>
        <c:baseTimeUnit val="months"/>
      </c:dateAx>
      <c:valAx>
        <c:axId val="182339840"/>
        <c:scaling>
          <c:orientation val="minMax"/>
        </c:scaling>
        <c:delete val="0"/>
        <c:axPos val="r"/>
        <c:numFmt formatCode="0.0%" sourceLinked="1"/>
        <c:majorTickMark val="cross"/>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82338304"/>
        <c:crosses val="max"/>
        <c:crossBetween val="midCat"/>
      </c:valAx>
      <c:dTable>
        <c:showHorzBorder val="1"/>
        <c:showVertBorder val="1"/>
        <c:showOutline val="1"/>
        <c:showKeys val="0"/>
        <c:spPr>
          <a:ln w="3175">
            <a:solidFill>
              <a:sysClr val="windowText" lastClr="000000"/>
            </a:solidFill>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C0C0C0" mc:Ignorable="a14" a14:legacySpreadsheetColorIndex="22"/>
            </a:gs>
            <a:gs pos="100000">
              <a:srgbClr xmlns:mc="http://schemas.openxmlformats.org/markup-compatibility/2006" xmlns:a14="http://schemas.microsoft.com/office/drawing/2010/main" val="003366" mc:Ignorable="a14" a14:legacySpreadsheetColorIndex="56"/>
            </a:gs>
          </a:gsLst>
          <a:lin ang="2700000" scaled="1"/>
        </a:gradFill>
        <a:ln w="25400">
          <a:noFill/>
        </a:ln>
      </c:spPr>
    </c:plotArea>
    <c:legend>
      <c:legendPos val="t"/>
      <c:layout>
        <c:manualLayout>
          <c:xMode val="edge"/>
          <c:yMode val="edge"/>
          <c:x val="0.24219600742046588"/>
          <c:y val="0.15432060640756726"/>
          <c:w val="0.51853586794975937"/>
          <c:h val="3.6345140164049307E-2"/>
        </c:manualLayout>
      </c:layout>
      <c:overlay val="0"/>
      <c:txPr>
        <a:bodyPr/>
        <a:lstStyle/>
        <a:p>
          <a:pPr>
            <a:defRPr sz="1200"/>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sng" strike="noStrike" baseline="0">
                <a:solidFill>
                  <a:srgbClr val="000000"/>
                </a:solidFill>
                <a:latin typeface="Arial"/>
                <a:ea typeface="Arial"/>
                <a:cs typeface="Arial"/>
              </a:defRPr>
            </a:pPr>
            <a:r>
              <a:rPr lang="en-US" sz="2000" b="1" i="0" u="sng" strike="noStrike" baseline="0">
                <a:solidFill>
                  <a:srgbClr val="000000"/>
                </a:solidFill>
                <a:latin typeface="Arial"/>
                <a:cs typeface="Arial"/>
              </a:rPr>
              <a:t>Net Cumulative Savings</a:t>
            </a:r>
            <a:endParaRPr lang="en-US" sz="1200" b="1" i="0" u="sng" strike="noStrike" baseline="0">
              <a:solidFill>
                <a:srgbClr val="000000"/>
              </a:solidFill>
              <a:latin typeface="Arial"/>
              <a:cs typeface="Arial"/>
            </a:endParaRPr>
          </a:p>
          <a:p>
            <a:pPr>
              <a:defRPr sz="2000" b="1" i="0" u="sng" strike="noStrike" baseline="0">
                <a:solidFill>
                  <a:srgbClr val="000000"/>
                </a:solidFill>
                <a:latin typeface="Arial"/>
                <a:ea typeface="Arial"/>
                <a:cs typeface="Arial"/>
              </a:defRPr>
            </a:pPr>
            <a:r>
              <a:rPr lang="en-US" sz="1325" b="1" i="0" u="none" strike="noStrike" baseline="0">
                <a:solidFill>
                  <a:srgbClr val="000000"/>
                </a:solidFill>
                <a:latin typeface="Arial"/>
                <a:cs typeface="Arial"/>
              </a:rPr>
              <a:t>(Since First Optimization)</a:t>
            </a:r>
          </a:p>
        </c:rich>
      </c:tx>
      <c:layout>
        <c:manualLayout>
          <c:xMode val="edge"/>
          <c:yMode val="edge"/>
          <c:x val="0.33299898704990699"/>
          <c:y val="5.2688751900605971E-2"/>
        </c:manualLayout>
      </c:layout>
      <c:overlay val="0"/>
      <c:spPr>
        <a:noFill/>
        <a:ln w="25400">
          <a:noFill/>
        </a:ln>
      </c:spPr>
    </c:title>
    <c:autoTitleDeleted val="0"/>
    <c:plotArea>
      <c:layout>
        <c:manualLayout>
          <c:layoutTarget val="inner"/>
          <c:xMode val="edge"/>
          <c:yMode val="edge"/>
          <c:x val="0.15245737211634905"/>
          <c:y val="0.19918144611186903"/>
          <c:w val="0.8114343029087262"/>
          <c:h val="0.6173854293263088"/>
        </c:manualLayout>
      </c:layout>
      <c:areaChart>
        <c:grouping val="standard"/>
        <c:varyColors val="0"/>
        <c:ser>
          <c:idx val="13"/>
          <c:order val="0"/>
          <c:tx>
            <c:v>Net Cumulative Savings</c:v>
          </c:tx>
          <c:spPr>
            <a:gradFill rotWithShape="0">
              <a:gsLst>
                <a:gs pos="0">
                  <a:srgbClr xmlns:mc="http://schemas.openxmlformats.org/markup-compatibility/2006" xmlns:a14="http://schemas.microsoft.com/office/drawing/2010/main" val="800000" mc:Ignorable="a14" a14:legacySpreadsheetColorIndex="16"/>
                </a:gs>
                <a:gs pos="100000">
                  <a:srgbClr xmlns:mc="http://schemas.openxmlformats.org/markup-compatibility/2006" xmlns:a14="http://schemas.microsoft.com/office/drawing/2010/main" val="008000" mc:Ignorable="a14" a14:legacySpreadsheetColorIndex="17"/>
                </a:gs>
              </a:gsLst>
              <a:lin ang="0" scaled="1"/>
            </a:gradFill>
            <a:ln w="25400">
              <a:noFill/>
            </a:ln>
            <a:effectLst>
              <a:outerShdw dist="35921" dir="2700000" algn="br">
                <a:srgbClr val="000000"/>
              </a:outerShdw>
            </a:effectLst>
          </c:spPr>
          <c:dLbls>
            <c:dLbl>
              <c:idx val="0"/>
              <c:layout>
                <c:manualLayout>
                  <c:x val="3.6258907957468132E-3"/>
                  <c:y val="5.56507789868695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359-44AE-96F1-EEE4ED46F629}"/>
                </c:ext>
              </c:extLst>
            </c:dLbl>
            <c:dLbl>
              <c:idx val="1"/>
              <c:layout>
                <c:manualLayout>
                  <c:x val="3.2079440421000603E-3"/>
                  <c:y val="5.07835701983364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359-44AE-96F1-EEE4ED46F629}"/>
                </c:ext>
              </c:extLst>
            </c:dLbl>
            <c:dLbl>
              <c:idx val="2"/>
              <c:layout>
                <c:manualLayout>
                  <c:x val="-2.5062062828895229E-5"/>
                  <c:y val="-4.85809942242894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359-44AE-96F1-EEE4ED46F629}"/>
                </c:ext>
              </c:extLst>
            </c:dLbl>
            <c:dLbl>
              <c:idx val="3"/>
              <c:layout>
                <c:manualLayout>
                  <c:x val="1.5630092376868303E-3"/>
                  <c:y val="-3.98524741024015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7359-44AE-96F1-EEE4ED46F629}"/>
                </c:ext>
              </c:extLst>
            </c:dLbl>
            <c:dLbl>
              <c:idx val="4"/>
              <c:layout>
                <c:manualLayout>
                  <c:x val="-5.8760007055286383E-3"/>
                  <c:y val="-6.71645307638046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7359-44AE-96F1-EEE4ED46F629}"/>
                </c:ext>
              </c:extLst>
            </c:dLbl>
            <c:dLbl>
              <c:idx val="5"/>
              <c:layout>
                <c:manualLayout>
                  <c:x val="-2.2016706286839597E-3"/>
                  <c:y val="-0.1129813479999856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7359-44AE-96F1-EEE4ED46F629}"/>
                </c:ext>
              </c:extLst>
            </c:dLbl>
            <c:dLbl>
              <c:idx val="6"/>
              <c:layout>
                <c:manualLayout>
                  <c:x val="-4.6255301337082512E-3"/>
                  <c:y val="-0.145936771546121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359-44AE-96F1-EEE4ED46F629}"/>
                </c:ext>
              </c:extLst>
            </c:dLbl>
            <c:dLbl>
              <c:idx val="7"/>
              <c:layout>
                <c:manualLayout>
                  <c:x val="-5.0434768873549758E-3"/>
                  <c:y val="-0.166538834760252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359-44AE-96F1-EEE4ED46F629}"/>
                </c:ext>
              </c:extLst>
            </c:dLbl>
            <c:dLbl>
              <c:idx val="8"/>
              <c:layout>
                <c:manualLayout>
                  <c:x val="-5.4614236410018124E-3"/>
                  <c:y val="-0.1980026712213497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359-44AE-96F1-EEE4ED46F629}"/>
                </c:ext>
              </c:extLst>
            </c:dLbl>
            <c:dLbl>
              <c:idx val="9"/>
              <c:layout>
                <c:manualLayout>
                  <c:x val="-4.8763613675673681E-3"/>
                  <c:y val="-0.2160969374053346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359-44AE-96F1-EEE4ED46F629}"/>
                </c:ext>
              </c:extLst>
            </c:dLbl>
            <c:dLbl>
              <c:idx val="10"/>
              <c:layout>
                <c:manualLayout>
                  <c:x val="-7.3002208725915481E-3"/>
                  <c:y val="-0.2531481382016879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359-44AE-96F1-EEE4ED46F629}"/>
                </c:ext>
              </c:extLst>
            </c:dLbl>
            <c:dLbl>
              <c:idx val="11"/>
              <c:layout>
                <c:manualLayout>
                  <c:x val="-6.9710443666964037E-4"/>
                  <c:y val="-0.2725648379900670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359-44AE-96F1-EEE4ED46F629}"/>
                </c:ext>
              </c:extLst>
            </c:dLbl>
            <c:numFmt formatCode="\$#,##0_);[Red]\(\$#,##0\)" sourceLinked="0"/>
            <c:spPr>
              <a:noFill/>
              <a:ln w="25400">
                <a:noFill/>
              </a:ln>
            </c:spPr>
            <c:txPr>
              <a:bodyPr/>
              <a:lstStyle/>
              <a:p>
                <a:pPr>
                  <a:defRPr sz="1100" b="1" i="0" u="none" strike="noStrike" baseline="0">
                    <a:solidFill>
                      <a:srgbClr val="FFFFFF"/>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DataSource_1!$P$5:$P$16</c:f>
              <c:numCache>
                <c:formatCode>"$"#,##0</c:formatCode>
                <c:ptCount val="12"/>
                <c:pt idx="0">
                  <c:v>-2056.75</c:v>
                </c:pt>
                <c:pt idx="1">
                  <c:v>-4208.5</c:v>
                </c:pt>
                <c:pt idx="2">
                  <c:v>22097.519125509898</c:v>
                </c:pt>
                <c:pt idx="3">
                  <c:v>45977.062451936021</c:v>
                </c:pt>
                <c:pt idx="4">
                  <c:v>76146.066420825693</c:v>
                </c:pt>
                <c:pt idx="5">
                  <c:v>106913.49498229832</c:v>
                </c:pt>
                <c:pt idx="6">
                  <c:v>130032.33751414737</c:v>
                </c:pt>
                <c:pt idx="7">
                  <c:v>155971.58666437457</c:v>
                </c:pt>
                <c:pt idx="8">
                  <c:v>179218.5418126318</c:v>
                </c:pt>
                <c:pt idx="9">
                  <c:v>203563.28964540915</c:v>
                </c:pt>
                <c:pt idx="10">
                  <c:v>229424.07994656975</c:v>
                </c:pt>
                <c:pt idx="11">
                  <c:v>253810.91937221811</c:v>
                </c:pt>
              </c:numCache>
            </c:numRef>
          </c:val>
          <c:extLst>
            <c:ext xmlns:c16="http://schemas.microsoft.com/office/drawing/2014/chart" uri="{C3380CC4-5D6E-409C-BE32-E72D297353CC}">
              <c16:uniqueId val="{0000000C-7359-44AE-96F1-EEE4ED46F629}"/>
            </c:ext>
          </c:extLst>
        </c:ser>
        <c:dLbls>
          <c:showLegendKey val="0"/>
          <c:showVal val="0"/>
          <c:showCatName val="0"/>
          <c:showSerName val="0"/>
          <c:showPercent val="0"/>
          <c:showBubbleSize val="0"/>
        </c:dLbls>
        <c:dropLines>
          <c:spPr>
            <a:ln w="3175">
              <a:solidFill>
                <a:srgbClr val="FFFFFF"/>
              </a:solidFill>
              <a:prstDash val="solid"/>
            </a:ln>
          </c:spPr>
        </c:dropLines>
        <c:axId val="182428416"/>
        <c:axId val="182429952"/>
      </c:areaChart>
      <c:dateAx>
        <c:axId val="182428416"/>
        <c:scaling>
          <c:orientation val="minMax"/>
        </c:scaling>
        <c:delete val="0"/>
        <c:axPos val="b"/>
        <c:majorGridlines>
          <c:spPr>
            <a:ln w="3175">
              <a:solidFill>
                <a:srgbClr val="000000"/>
              </a:solidFill>
              <a:prstDash val="solid"/>
            </a:ln>
          </c:spPr>
        </c:majorGridlines>
        <c:numFmt formatCode="mmm\-yy" sourceLinked="0"/>
        <c:majorTickMark val="out"/>
        <c:minorTickMark val="none"/>
        <c:tickLblPos val="nextTo"/>
        <c:crossAx val="182429952"/>
        <c:crosses val="autoZero"/>
        <c:auto val="1"/>
        <c:lblOffset val="100"/>
        <c:baseTimeUnit val="months"/>
        <c:majorUnit val="1"/>
        <c:majorTimeUnit val="months"/>
        <c:minorUnit val="1"/>
        <c:minorTimeUnit val="months"/>
      </c:dateAx>
      <c:valAx>
        <c:axId val="182429952"/>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crossAx val="182428416"/>
        <c:crosses val="autoZero"/>
        <c:crossBetween val="midCat"/>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C0C0C0" mc:Ignorable="a14" a14:legacySpreadsheetColorIndex="22"/>
            </a:gs>
            <a:gs pos="100000">
              <a:srgbClr xmlns:mc="http://schemas.openxmlformats.org/markup-compatibility/2006" xmlns:a14="http://schemas.microsoft.com/office/drawing/2010/main" val="003366" mc:Ignorable="a14" a14:legacySpreadsheetColorIndex="56"/>
            </a:gs>
          </a:gsLst>
          <a:lin ang="2700000" scaled="1"/>
        </a:gradFill>
        <a:ln w="25400">
          <a:noFill/>
        </a:ln>
      </c:spPr>
    </c:plotArea>
    <c:legend>
      <c:legendPos val="t"/>
      <c:layout>
        <c:manualLayout>
          <c:xMode val="edge"/>
          <c:yMode val="edge"/>
          <c:x val="0.37535942752662094"/>
          <c:y val="0.14809375303669936"/>
          <c:w val="0.26267186648417329"/>
          <c:h val="3.9162853493332789E-2"/>
        </c:manualLayout>
      </c:layout>
      <c:overlay val="0"/>
      <c:txPr>
        <a:bodyPr/>
        <a:lstStyle/>
        <a:p>
          <a:pPr>
            <a:defRPr sz="1400"/>
          </a:pPr>
          <a:endParaRPr lang="en-US"/>
        </a:p>
      </c:txPr>
    </c:legend>
    <c:plotVisOnly val="1"/>
    <c:dispBlanksAs val="zero"/>
    <c:showDLblsOverMax val="0"/>
  </c:chart>
  <c:spPr>
    <a:noFill/>
    <a:ln w="9525">
      <a:noFill/>
    </a:ln>
  </c:spPr>
  <c:txPr>
    <a:bodyPr/>
    <a:lstStyle/>
    <a:p>
      <a:pPr>
        <a:defRPr sz="1100" b="0" i="0" u="none" strike="noStrike" baseline="0">
          <a:solidFill>
            <a:srgbClr val="000000"/>
          </a:solidFill>
          <a:latin typeface="Arial"/>
          <a:ea typeface="Arial"/>
          <a:cs typeface="Arial"/>
        </a:defRPr>
      </a:pPr>
      <a:endParaRPr lang="en-US"/>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Wireless Spend and Minutes</a:t>
            </a:r>
          </a:p>
        </c:rich>
      </c:tx>
      <c:layout>
        <c:manualLayout>
          <c:xMode val="edge"/>
          <c:yMode val="edge"/>
          <c:x val="0.32665964172813489"/>
          <c:y val="7.8984485190409029E-2"/>
        </c:manualLayout>
      </c:layout>
      <c:overlay val="0"/>
      <c:spPr>
        <a:noFill/>
        <a:ln w="25400">
          <a:noFill/>
        </a:ln>
      </c:spPr>
    </c:title>
    <c:autoTitleDeleted val="0"/>
    <c:plotArea>
      <c:layout>
        <c:manualLayout>
          <c:layoutTarget val="inner"/>
          <c:xMode val="edge"/>
          <c:yMode val="edge"/>
          <c:x val="0.17702850157667166"/>
          <c:y val="0.19550159037083314"/>
          <c:w val="0.74183350895679667"/>
          <c:h val="0.68368111762474792"/>
        </c:manualLayout>
      </c:layout>
      <c:barChart>
        <c:barDir val="col"/>
        <c:grouping val="clustered"/>
        <c:varyColors val="0"/>
        <c:ser>
          <c:idx val="0"/>
          <c:order val="0"/>
          <c:tx>
            <c:v>Monthly Wireless Spend</c:v>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100000">
                  <a:srgbClr xmlns:mc="http://schemas.openxmlformats.org/markup-compatibility/2006" xmlns:a14="http://schemas.microsoft.com/office/drawing/2010/main" val="FF0000" mc:Ignorable="a14" a14:legacySpreadsheetColorIndex="10"/>
                </a:gs>
              </a:gsLst>
              <a:lin ang="0" scaled="1"/>
            </a:gradFill>
            <a:ln w="12700">
              <a:solidFill>
                <a:srgbClr val="000000"/>
              </a:solidFill>
              <a:prstDash val="solid"/>
            </a:ln>
            <a:effectLst>
              <a:outerShdw dist="35921" dir="2700000" algn="br">
                <a:srgbClr val="000000"/>
              </a:outerShdw>
            </a:effectLst>
          </c:spPr>
          <c:invertIfNegative val="0"/>
          <c:dPt>
            <c:idx val="1"/>
            <c:invertIfNegative val="0"/>
            <c:bubble3D val="0"/>
            <c:extLst>
              <c:ext xmlns:c16="http://schemas.microsoft.com/office/drawing/2014/chart" uri="{C3380CC4-5D6E-409C-BE32-E72D297353CC}">
                <c16:uniqueId val="{00000000-D9B9-4748-B22F-D349CA60DC04}"/>
              </c:ext>
            </c:extLst>
          </c:dPt>
          <c:dLbls>
            <c:numFmt formatCode="0.0," sourceLinked="0"/>
            <c:spPr>
              <a:noFill/>
              <a:ln w="25400">
                <a:noFill/>
              </a:ln>
            </c:spPr>
            <c:txPr>
              <a:bodyPr/>
              <a:lstStyle/>
              <a:p>
                <a:pPr>
                  <a:defRPr sz="1000" b="1" i="0" u="none" strike="noStrike" baseline="0">
                    <a:solidFill>
                      <a:schemeClr val="bg1"/>
                    </a:solidFill>
                    <a:latin typeface="Arial"/>
                    <a:ea typeface="Arial"/>
                    <a:cs typeface="Aria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extLst>
            <c:ext xmlns:c16="http://schemas.microsoft.com/office/drawing/2014/chart" uri="{C3380CC4-5D6E-409C-BE32-E72D297353CC}">
              <c16:uniqueId val="{00000001-D9B9-4748-B22F-D349CA60DC04}"/>
            </c:ext>
          </c:extLst>
        </c:ser>
        <c:dLbls>
          <c:showLegendKey val="0"/>
          <c:showVal val="1"/>
          <c:showCatName val="0"/>
          <c:showSerName val="0"/>
          <c:showPercent val="0"/>
          <c:showBubbleSize val="0"/>
        </c:dLbls>
        <c:gapWidth val="150"/>
        <c:axId val="167687296"/>
        <c:axId val="167689216"/>
      </c:barChart>
      <c:lineChart>
        <c:grouping val="standard"/>
        <c:varyColors val="0"/>
        <c:ser>
          <c:idx val="1"/>
          <c:order val="1"/>
          <c:tx>
            <c:v>Monthly Minutes of Use</c:v>
          </c:tx>
          <c:spPr>
            <a:ln w="38100">
              <a:solidFill>
                <a:srgbClr val="003366"/>
              </a:solidFill>
              <a:prstDash val="solid"/>
            </a:ln>
          </c:spPr>
          <c:marker>
            <c:symbol val="square"/>
            <c:size val="7"/>
            <c:spPr>
              <a:solidFill>
                <a:srgbClr val="003366"/>
              </a:solidFill>
              <a:ln>
                <a:solidFill>
                  <a:srgbClr val="003366"/>
                </a:solidFill>
                <a:prstDash val="solid"/>
              </a:ln>
              <a:effectLst>
                <a:outerShdw dist="35921" dir="2700000" algn="br">
                  <a:srgbClr val="000000"/>
                </a:outerShdw>
              </a:effectLst>
            </c:spPr>
          </c:marker>
          <c:dLbls>
            <c:numFmt formatCode="0.0," sourceLinked="0"/>
            <c:spPr>
              <a:solidFill>
                <a:schemeClr val="bg1"/>
              </a:solidFill>
              <a:ln w="25400">
                <a:noFill/>
              </a:ln>
            </c:spPr>
            <c:txPr>
              <a:bodyPr/>
              <a:lstStyle/>
              <a:p>
                <a:pPr>
                  <a:defRPr sz="9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DataSource_1!$G$5:$G$16</c:f>
              <c:numCache>
                <c:formatCode>#,##0</c:formatCode>
                <c:ptCount val="12"/>
                <c:pt idx="0">
                  <c:v>175781.09999999998</c:v>
                </c:pt>
                <c:pt idx="1">
                  <c:v>193710.6</c:v>
                </c:pt>
                <c:pt idx="2">
                  <c:v>213493.3</c:v>
                </c:pt>
                <c:pt idx="3">
                  <c:v>215067.40000000002</c:v>
                </c:pt>
                <c:pt idx="4">
                  <c:v>241373.4</c:v>
                </c:pt>
                <c:pt idx="5">
                  <c:v>240571</c:v>
                </c:pt>
                <c:pt idx="6">
                  <c:v>202948.2</c:v>
                </c:pt>
                <c:pt idx="7">
                  <c:v>216164.60000000003</c:v>
                </c:pt>
                <c:pt idx="8">
                  <c:v>204332.3</c:v>
                </c:pt>
                <c:pt idx="9">
                  <c:v>210447.8</c:v>
                </c:pt>
                <c:pt idx="10">
                  <c:v>217479</c:v>
                </c:pt>
                <c:pt idx="11">
                  <c:v>204421.1</c:v>
                </c:pt>
              </c:numCache>
            </c:numRef>
          </c:val>
          <c:smooth val="1"/>
          <c:extLst>
            <c:ext xmlns:c16="http://schemas.microsoft.com/office/drawing/2014/chart" uri="{C3380CC4-5D6E-409C-BE32-E72D297353CC}">
              <c16:uniqueId val="{00000002-D9B9-4748-B22F-D349CA60DC04}"/>
            </c:ext>
          </c:extLst>
        </c:ser>
        <c:dLbls>
          <c:showLegendKey val="0"/>
          <c:showVal val="1"/>
          <c:showCatName val="0"/>
          <c:showSerName val="0"/>
          <c:showPercent val="0"/>
          <c:showBubbleSize val="0"/>
        </c:dLbls>
        <c:marker val="1"/>
        <c:smooth val="0"/>
        <c:axId val="167703296"/>
        <c:axId val="167704832"/>
      </c:lineChart>
      <c:dateAx>
        <c:axId val="167687296"/>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67689216"/>
        <c:crosses val="autoZero"/>
        <c:auto val="1"/>
        <c:lblOffset val="100"/>
        <c:baseTimeUnit val="months"/>
        <c:majorUnit val="1"/>
        <c:majorTimeUnit val="months"/>
        <c:minorUnit val="1"/>
        <c:minorTimeUnit val="months"/>
      </c:dateAx>
      <c:valAx>
        <c:axId val="16768921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67687296"/>
        <c:crosses val="autoZero"/>
        <c:crossBetween val="between"/>
      </c:valAx>
      <c:dateAx>
        <c:axId val="167703296"/>
        <c:scaling>
          <c:orientation val="minMax"/>
        </c:scaling>
        <c:delete val="1"/>
        <c:axPos val="b"/>
        <c:numFmt formatCode="mmm\ yyyy" sourceLinked="1"/>
        <c:majorTickMark val="out"/>
        <c:minorTickMark val="none"/>
        <c:tickLblPos val="nextTo"/>
        <c:crossAx val="167704832"/>
        <c:crosses val="autoZero"/>
        <c:auto val="1"/>
        <c:lblOffset val="100"/>
        <c:baseTimeUnit val="months"/>
      </c:dateAx>
      <c:valAx>
        <c:axId val="167704832"/>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67703296"/>
        <c:crosses val="max"/>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plotArea>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YTD Trending Charges</a:t>
            </a:r>
          </a:p>
        </c:rich>
      </c:tx>
      <c:layout>
        <c:manualLayout>
          <c:xMode val="edge"/>
          <c:yMode val="edge"/>
          <c:x val="0.35811663961682899"/>
          <c:y val="7.1744550046472635E-2"/>
        </c:manualLayout>
      </c:layout>
      <c:overlay val="0"/>
      <c:spPr>
        <a:noFill/>
        <a:ln w="25400">
          <a:noFill/>
        </a:ln>
      </c:spPr>
    </c:title>
    <c:autoTitleDeleted val="0"/>
    <c:view3D>
      <c:rotX val="15"/>
      <c:hPercent val="55"/>
      <c:rotY val="20"/>
      <c:depthPercent val="100"/>
      <c:rAngAx val="1"/>
    </c:view3D>
    <c:floor>
      <c:thickness val="0"/>
      <c:spPr>
        <a:solidFill>
          <a:srgbClr val="C0C0C0"/>
        </a:solidFill>
        <a:ln w="3175">
          <a:solidFill>
            <a:srgbClr val="000000"/>
          </a:solidFill>
          <a:prstDash val="solid"/>
        </a:ln>
      </c:spPr>
    </c:floor>
    <c:side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sideWall>
    <c:back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backWall>
    <c:plotArea>
      <c:layout>
        <c:manualLayout>
          <c:layoutTarget val="inner"/>
          <c:xMode val="edge"/>
          <c:yMode val="edge"/>
          <c:x val="8.2130965593784688E-2"/>
          <c:y val="0.18760195758564438"/>
          <c:w val="0.90344062153163152"/>
          <c:h val="0.63295269168026103"/>
        </c:manualLayout>
      </c:layout>
      <c:bar3DChart>
        <c:barDir val="col"/>
        <c:grouping val="stacked"/>
        <c:varyColors val="0"/>
        <c:ser>
          <c:idx val="1"/>
          <c:order val="0"/>
          <c:tx>
            <c:v>Plan Charge</c:v>
          </c:tx>
          <c:spPr>
            <a:gradFill rotWithShape="0">
              <a:gsLst>
                <a:gs pos="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3B00" mc:Ignorable="a14" a14:legacySpreadsheetColorIndex="17">
                    <a:gamma/>
                    <a:shade val="46275"/>
                    <a:invGamma/>
                  </a:srgbClr>
                </a:gs>
              </a:gsLst>
              <a:lin ang="0" scaled="1"/>
            </a:gradFill>
            <a:ln w="12700">
              <a:solidFill>
                <a:srgbClr val="000000"/>
              </a:solidFill>
              <a:prstDash val="solid"/>
            </a:ln>
          </c:spPr>
          <c:invertIfNegative val="0"/>
          <c:dLbls>
            <c:numFmt formatCode="\$#,##0" sourceLinked="0"/>
            <c:spPr>
              <a:gradFill rotWithShape="0">
                <a:gsLst>
                  <a:gs pos="0">
                    <a:srgbClr val="FFEFD1"/>
                  </a:gs>
                  <a:gs pos="64999">
                    <a:srgbClr val="F0EBD5"/>
                  </a:gs>
                  <a:gs pos="100000">
                    <a:srgbClr val="D1C39F"/>
                  </a:gs>
                </a:gsLst>
                <a:path path="rect">
                  <a:fillToRect l="50000" t="50000" r="50000" b="50000"/>
                </a:path>
              </a:grad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DataSource_1!$U$5:$U$16</c:f>
              <c:numCache>
                <c:formatCode>"$"#,##0</c:formatCode>
                <c:ptCount val="12"/>
                <c:pt idx="0">
                  <c:v>23065.81</c:v>
                </c:pt>
                <c:pt idx="1">
                  <c:v>24400.789999999997</c:v>
                </c:pt>
                <c:pt idx="2">
                  <c:v>24654.67</c:v>
                </c:pt>
                <c:pt idx="3">
                  <c:v>25685.399999999998</c:v>
                </c:pt>
                <c:pt idx="4">
                  <c:v>25642.63</c:v>
                </c:pt>
                <c:pt idx="5">
                  <c:v>25534.27</c:v>
                </c:pt>
                <c:pt idx="6">
                  <c:v>25922.21</c:v>
                </c:pt>
                <c:pt idx="7">
                  <c:v>25540.820000000003</c:v>
                </c:pt>
                <c:pt idx="8">
                  <c:v>25536.399999999998</c:v>
                </c:pt>
                <c:pt idx="9">
                  <c:v>25049.35</c:v>
                </c:pt>
                <c:pt idx="10">
                  <c:v>25309.940000000002</c:v>
                </c:pt>
                <c:pt idx="11">
                  <c:v>25124.920000000002</c:v>
                </c:pt>
              </c:numCache>
            </c:numRef>
          </c:val>
          <c:extLst>
            <c:ext xmlns:c16="http://schemas.microsoft.com/office/drawing/2014/chart" uri="{C3380CC4-5D6E-409C-BE32-E72D297353CC}">
              <c16:uniqueId val="{00000000-BA97-4B8C-A76D-48276260CF93}"/>
            </c:ext>
          </c:extLst>
        </c:ser>
        <c:ser>
          <c:idx val="0"/>
          <c:order val="1"/>
          <c:tx>
            <c:v>Overage Cost</c:v>
          </c:tx>
          <c:spPr>
            <a:gradFill rotWithShape="0">
              <a:gsLst>
                <a:gs pos="0">
                  <a:srgbClr xmlns:mc="http://schemas.openxmlformats.org/markup-compatibility/2006" xmlns:a14="http://schemas.microsoft.com/office/drawing/2010/main" val="760000" mc:Ignorable="a14" a14:legacySpreadsheetColorIndex="10">
                    <a:gamma/>
                    <a:shade val="46275"/>
                    <a:invGamma/>
                  </a:srgbClr>
                </a:gs>
                <a:gs pos="100000">
                  <a:srgbClr xmlns:mc="http://schemas.openxmlformats.org/markup-compatibility/2006" xmlns:a14="http://schemas.microsoft.com/office/drawing/2010/main" val="FF0000" mc:Ignorable="a14" a14:legacySpreadsheetColorIndex="10"/>
                </a:gs>
              </a:gsLst>
              <a:lin ang="0" scaled="1"/>
            </a:gradFill>
            <a:ln w="12700">
              <a:solidFill>
                <a:srgbClr val="000000"/>
              </a:solidFill>
              <a:prstDash val="solid"/>
            </a:ln>
          </c:spPr>
          <c:invertIfNegative val="0"/>
          <c:dLbls>
            <c:numFmt formatCode="\$#,##0" sourceLinked="0"/>
            <c:spPr>
              <a:gradFill rotWithShape="0">
                <a:gsLst>
                  <a:gs pos="0">
                    <a:srgbClr val="FFEFD1"/>
                  </a:gs>
                  <a:gs pos="64999">
                    <a:srgbClr val="F0EBD5"/>
                  </a:gs>
                  <a:gs pos="100000">
                    <a:srgbClr val="D1C39F"/>
                  </a:gs>
                </a:gsLst>
                <a:path path="rect">
                  <a:fillToRect l="50000" t="50000" r="50000" b="50000"/>
                </a:path>
              </a:grad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DataSource_1!$V$5:$V$16</c:f>
              <c:numCache>
                <c:formatCode>"$"#,##0</c:formatCode>
                <c:ptCount val="12"/>
                <c:pt idx="0">
                  <c:v>16511.370000000003</c:v>
                </c:pt>
                <c:pt idx="1">
                  <c:v>21731.660000000003</c:v>
                </c:pt>
                <c:pt idx="2">
                  <c:v>1807.5199999999998</c:v>
                </c:pt>
                <c:pt idx="3">
                  <c:v>2017.85</c:v>
                </c:pt>
                <c:pt idx="4">
                  <c:v>4456.3499999999995</c:v>
                </c:pt>
                <c:pt idx="5">
                  <c:v>3889.6599999999994</c:v>
                </c:pt>
                <c:pt idx="6">
                  <c:v>541.5</c:v>
                </c:pt>
                <c:pt idx="7">
                  <c:v>2130.8100000000004</c:v>
                </c:pt>
                <c:pt idx="8">
                  <c:v>334.75</c:v>
                </c:pt>
                <c:pt idx="9">
                  <c:v>1959.69</c:v>
                </c:pt>
                <c:pt idx="10">
                  <c:v>2076.0199999999995</c:v>
                </c:pt>
                <c:pt idx="11">
                  <c:v>735.8</c:v>
                </c:pt>
              </c:numCache>
            </c:numRef>
          </c:val>
          <c:extLst>
            <c:ext xmlns:c16="http://schemas.microsoft.com/office/drawing/2014/chart" uri="{C3380CC4-5D6E-409C-BE32-E72D297353CC}">
              <c16:uniqueId val="{00000007-BA97-4B8C-A76D-48276260CF93}"/>
            </c:ext>
          </c:extLst>
        </c:ser>
        <c:dLbls>
          <c:showLegendKey val="0"/>
          <c:showVal val="0"/>
          <c:showCatName val="0"/>
          <c:showSerName val="0"/>
          <c:showPercent val="0"/>
          <c:showBubbleSize val="0"/>
        </c:dLbls>
        <c:gapWidth val="150"/>
        <c:shape val="box"/>
        <c:axId val="183708672"/>
        <c:axId val="183718656"/>
        <c:axId val="0"/>
      </c:bar3DChart>
      <c:dateAx>
        <c:axId val="183708672"/>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low"/>
        <c:crossAx val="183718656"/>
        <c:crosses val="autoZero"/>
        <c:auto val="1"/>
        <c:lblOffset val="100"/>
        <c:baseTimeUnit val="months"/>
        <c:majorUnit val="1"/>
        <c:majorTimeUnit val="months"/>
        <c:minorUnit val="1"/>
        <c:minorTimeUnit val="months"/>
      </c:dateAx>
      <c:valAx>
        <c:axId val="18371865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50" b="0" i="0" u="none" strike="noStrike" baseline="0">
                <a:solidFill>
                  <a:srgbClr val="000000"/>
                </a:solidFill>
                <a:latin typeface="Arial"/>
                <a:ea typeface="Arial"/>
                <a:cs typeface="Arial"/>
              </a:defRPr>
            </a:pPr>
            <a:endParaRPr lang="en-US"/>
          </a:p>
        </c:txPr>
        <c:crossAx val="183708672"/>
        <c:crosses val="autoZero"/>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noFill/>
        <a:ln w="25400">
          <a:noFill/>
        </a:ln>
      </c:spPr>
    </c:plotArea>
    <c:legend>
      <c:legendPos val="t"/>
      <c:layout>
        <c:manualLayout>
          <c:xMode val="edge"/>
          <c:yMode val="edge"/>
          <c:x val="0.36710962504146272"/>
          <c:y val="0.13890966072827682"/>
          <c:w val="0.26916015891307438"/>
          <c:h val="3.9616529045956993E-2"/>
        </c:manualLayout>
      </c:layout>
      <c:overlay val="0"/>
      <c:txPr>
        <a:bodyPr/>
        <a:lstStyle/>
        <a:p>
          <a:pPr>
            <a:defRPr sz="1100"/>
          </a:pPr>
          <a:endParaRPr lang="en-US"/>
        </a:p>
      </c:txPr>
    </c:legend>
    <c:plotVisOnly val="1"/>
    <c:dispBlanksAs val="gap"/>
    <c:showDLblsOverMax val="0"/>
  </c:chart>
  <c:spPr>
    <a:noFill/>
    <a:ln w="9525">
      <a:noFill/>
    </a:ln>
  </c:spPr>
  <c:txPr>
    <a:bodyPr/>
    <a:lstStyle/>
    <a:p>
      <a:pPr>
        <a:defRPr sz="1050" b="0" i="0" u="none" strike="noStrike" baseline="0">
          <a:solidFill>
            <a:srgbClr val="000000"/>
          </a:solidFill>
          <a:latin typeface="Arial"/>
          <a:ea typeface="Arial"/>
          <a:cs typeface="Arial"/>
        </a:defRPr>
      </a:pPr>
      <a:endParaRPr lang="en-US"/>
    </a:p>
  </c:txPr>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sz="1800" b="1" i="0" u="sng" strike="noStrike" baseline="0">
                <a:solidFill>
                  <a:srgbClr val="000000"/>
                </a:solidFill>
                <a:latin typeface="Arial"/>
                <a:cs typeface="Arial"/>
              </a:rPr>
              <a:t>Monthly </a:t>
            </a:r>
            <a:r>
              <a:rPr lang="en-US" sz="1800" b="1" i="0" u="sng" strike="noStrike" baseline="0">
                <a:solidFill>
                  <a:srgbClr val="000080"/>
                </a:solidFill>
                <a:latin typeface="Arial"/>
                <a:cs typeface="Arial"/>
              </a:rPr>
              <a:t>Savings</a:t>
            </a:r>
            <a:r>
              <a:rPr lang="en-US" sz="1800" b="1" i="0" u="sng" strike="noStrike" baseline="0">
                <a:solidFill>
                  <a:srgbClr val="000000"/>
                </a:solidFill>
                <a:latin typeface="Arial"/>
                <a:cs typeface="Arial"/>
              </a:rPr>
              <a:t> vs. Baseline</a:t>
            </a:r>
          </a:p>
        </c:rich>
      </c:tx>
      <c:layout>
        <c:manualLayout>
          <c:xMode val="edge"/>
          <c:yMode val="edge"/>
          <c:x val="0.31298557158712542"/>
          <c:y val="7.3409461663947795E-2"/>
        </c:manualLayout>
      </c:layout>
      <c:overlay val="0"/>
      <c:spPr>
        <a:noFill/>
        <a:ln w="25400">
          <a:noFill/>
        </a:ln>
      </c:spPr>
    </c:title>
    <c:autoTitleDeleted val="0"/>
    <c:view3D>
      <c:rotX val="25"/>
      <c:rotY val="0"/>
      <c:rAngAx val="0"/>
      <c:perspective val="0"/>
    </c:view3D>
    <c:floor>
      <c:thickness val="0"/>
    </c:floor>
    <c:sideWall>
      <c:thickness val="0"/>
    </c:sideWall>
    <c:backWall>
      <c:thickness val="0"/>
    </c:backWall>
    <c:plotArea>
      <c:layout>
        <c:manualLayout>
          <c:layoutTarget val="inner"/>
          <c:xMode val="edge"/>
          <c:yMode val="edge"/>
          <c:x val="7.2142064372918979E-2"/>
          <c:y val="0.18270799347471453"/>
          <c:w val="0.85571587125416204"/>
          <c:h val="0.69494290375203915"/>
        </c:manualLayout>
      </c:layout>
      <c:pie3DChart>
        <c:varyColors val="1"/>
        <c:ser>
          <c:idx val="0"/>
          <c:order val="0"/>
          <c:tx>
            <c:v>Monthly Savings vs. Baseline</c:v>
          </c:tx>
          <c:spPr>
            <a:solidFill>
              <a:srgbClr val="9999FF"/>
            </a:solidFill>
            <a:ln w="12700">
              <a:solidFill>
                <a:srgbClr val="000000"/>
              </a:solidFill>
              <a:prstDash val="solid"/>
            </a:ln>
          </c:spPr>
          <c:explosion val="27"/>
          <c:dPt>
            <c:idx val="0"/>
            <c:bubble3D val="0"/>
            <c:extLst>
              <c:ext xmlns:c16="http://schemas.microsoft.com/office/drawing/2014/chart" uri="{C3380CC4-5D6E-409C-BE32-E72D297353CC}">
                <c16:uniqueId val="{00000000-CB9A-4310-9269-E8CBD3E80B27}"/>
              </c:ext>
            </c:extLst>
          </c:dPt>
          <c:dPt>
            <c:idx val="1"/>
            <c:bubble3D val="0"/>
            <c:spPr>
              <a:solidFill>
                <a:srgbClr val="993366"/>
              </a:solidFill>
              <a:ln w="12700">
                <a:solidFill>
                  <a:srgbClr val="000000"/>
                </a:solidFill>
                <a:prstDash val="solid"/>
              </a:ln>
            </c:spPr>
            <c:extLst>
              <c:ext xmlns:c16="http://schemas.microsoft.com/office/drawing/2014/chart" uri="{C3380CC4-5D6E-409C-BE32-E72D297353CC}">
                <c16:uniqueId val="{00000002-CB9A-4310-9269-E8CBD3E80B27}"/>
              </c:ext>
            </c:extLst>
          </c:dPt>
          <c:dPt>
            <c:idx val="2"/>
            <c:bubble3D val="0"/>
            <c:spPr>
              <a:solidFill>
                <a:srgbClr val="FFFFCC"/>
              </a:solidFill>
              <a:ln w="12700">
                <a:solidFill>
                  <a:srgbClr val="000000"/>
                </a:solidFill>
                <a:prstDash val="solid"/>
              </a:ln>
            </c:spPr>
            <c:extLst>
              <c:ext xmlns:c16="http://schemas.microsoft.com/office/drawing/2014/chart" uri="{C3380CC4-5D6E-409C-BE32-E72D297353CC}">
                <c16:uniqueId val="{00000004-CB9A-4310-9269-E8CBD3E80B27}"/>
              </c:ext>
            </c:extLst>
          </c:dPt>
          <c:dPt>
            <c:idx val="3"/>
            <c:bubble3D val="0"/>
            <c:spPr>
              <a:solidFill>
                <a:srgbClr val="CCFFFF"/>
              </a:solidFill>
              <a:ln w="12700">
                <a:solidFill>
                  <a:srgbClr val="000000"/>
                </a:solidFill>
                <a:prstDash val="solid"/>
              </a:ln>
            </c:spPr>
            <c:extLst>
              <c:ext xmlns:c16="http://schemas.microsoft.com/office/drawing/2014/chart" uri="{C3380CC4-5D6E-409C-BE32-E72D297353CC}">
                <c16:uniqueId val="{00000006-CB9A-4310-9269-E8CBD3E80B27}"/>
              </c:ext>
            </c:extLst>
          </c:dPt>
          <c:dPt>
            <c:idx val="4"/>
            <c:bubble3D val="0"/>
            <c:spPr>
              <a:solidFill>
                <a:srgbClr val="660066"/>
              </a:solidFill>
              <a:ln w="12700">
                <a:solidFill>
                  <a:srgbClr val="000000"/>
                </a:solidFill>
                <a:prstDash val="solid"/>
              </a:ln>
            </c:spPr>
            <c:extLst>
              <c:ext xmlns:c16="http://schemas.microsoft.com/office/drawing/2014/chart" uri="{C3380CC4-5D6E-409C-BE32-E72D297353CC}">
                <c16:uniqueId val="{00000008-CB9A-4310-9269-E8CBD3E80B27}"/>
              </c:ext>
            </c:extLst>
          </c:dPt>
          <c:dPt>
            <c:idx val="5"/>
            <c:bubble3D val="0"/>
            <c:spPr>
              <a:solidFill>
                <a:srgbClr val="FF8080"/>
              </a:solidFill>
              <a:ln w="12700">
                <a:solidFill>
                  <a:srgbClr val="000000"/>
                </a:solidFill>
                <a:prstDash val="solid"/>
              </a:ln>
            </c:spPr>
            <c:extLst>
              <c:ext xmlns:c16="http://schemas.microsoft.com/office/drawing/2014/chart" uri="{C3380CC4-5D6E-409C-BE32-E72D297353CC}">
                <c16:uniqueId val="{0000000A-CB9A-4310-9269-E8CBD3E80B27}"/>
              </c:ext>
            </c:extLst>
          </c:dPt>
          <c:dPt>
            <c:idx val="6"/>
            <c:bubble3D val="0"/>
            <c:spPr>
              <a:solidFill>
                <a:srgbClr val="0066CC"/>
              </a:solidFill>
              <a:ln w="12700">
                <a:solidFill>
                  <a:srgbClr val="000000"/>
                </a:solidFill>
                <a:prstDash val="solid"/>
              </a:ln>
            </c:spPr>
            <c:extLst>
              <c:ext xmlns:c16="http://schemas.microsoft.com/office/drawing/2014/chart" uri="{C3380CC4-5D6E-409C-BE32-E72D297353CC}">
                <c16:uniqueId val="{0000000C-CB9A-4310-9269-E8CBD3E80B27}"/>
              </c:ext>
            </c:extLst>
          </c:dPt>
          <c:dPt>
            <c:idx val="7"/>
            <c:bubble3D val="0"/>
            <c:spPr>
              <a:solidFill>
                <a:srgbClr val="CCCCFF"/>
              </a:solidFill>
              <a:ln w="12700">
                <a:solidFill>
                  <a:srgbClr val="000000"/>
                </a:solidFill>
                <a:prstDash val="solid"/>
              </a:ln>
            </c:spPr>
            <c:extLst>
              <c:ext xmlns:c16="http://schemas.microsoft.com/office/drawing/2014/chart" uri="{C3380CC4-5D6E-409C-BE32-E72D297353CC}">
                <c16:uniqueId val="{0000000E-CB9A-4310-9269-E8CBD3E80B27}"/>
              </c:ext>
            </c:extLst>
          </c:dPt>
          <c:dPt>
            <c:idx val="8"/>
            <c:bubble3D val="0"/>
            <c:spPr>
              <a:gradFill rotWithShape="0">
                <a:gsLst>
                  <a:gs pos="0">
                    <a:srgbClr xmlns:mc="http://schemas.openxmlformats.org/markup-compatibility/2006" xmlns:a14="http://schemas.microsoft.com/office/drawing/2010/main" val="00003B" mc:Ignorable="a14" a14:legacySpreadsheetColorIndex="32">
                      <a:gamma/>
                      <a:shade val="46275"/>
                      <a:invGamma/>
                    </a:srgbClr>
                  </a:gs>
                  <a:gs pos="100000">
                    <a:srgbClr xmlns:mc="http://schemas.openxmlformats.org/markup-compatibility/2006" xmlns:a14="http://schemas.microsoft.com/office/drawing/2010/main" val="000080" mc:Ignorable="a14" a14:legacySpreadsheetColorIndex="32"/>
                  </a:gs>
                </a:gsLst>
                <a:lin ang="0" scaled="1"/>
              </a:gradFill>
              <a:ln w="12700">
                <a:solidFill>
                  <a:srgbClr val="000000"/>
                </a:solidFill>
                <a:prstDash val="solid"/>
              </a:ln>
            </c:spPr>
            <c:extLst>
              <c:ext xmlns:c16="http://schemas.microsoft.com/office/drawing/2014/chart" uri="{C3380CC4-5D6E-409C-BE32-E72D297353CC}">
                <c16:uniqueId val="{00000010-CB9A-4310-9269-E8CBD3E80B27}"/>
              </c:ext>
            </c:extLst>
          </c:dPt>
          <c:dPt>
            <c:idx val="9"/>
            <c:bubble3D val="0"/>
            <c:spPr>
              <a:gradFill rotWithShape="0">
                <a:gsLst>
                  <a:gs pos="0">
                    <a:srgbClr xmlns:mc="http://schemas.openxmlformats.org/markup-compatibility/2006" xmlns:a14="http://schemas.microsoft.com/office/drawing/2010/main" val="760076" mc:Ignorable="a14" a14:legacySpreadsheetColorIndex="33">
                      <a:gamma/>
                      <a:shade val="46275"/>
                      <a:invGamma/>
                    </a:srgbClr>
                  </a:gs>
                  <a:gs pos="100000">
                    <a:srgbClr xmlns:mc="http://schemas.openxmlformats.org/markup-compatibility/2006" xmlns:a14="http://schemas.microsoft.com/office/drawing/2010/main" val="FF00FF" mc:Ignorable="a14" a14:legacySpreadsheetColorIndex="33"/>
                  </a:gs>
                </a:gsLst>
                <a:lin ang="0" scaled="1"/>
              </a:gradFill>
              <a:ln w="12700">
                <a:solidFill>
                  <a:srgbClr val="000000"/>
                </a:solidFill>
                <a:prstDash val="solid"/>
              </a:ln>
            </c:spPr>
            <c:extLst>
              <c:ext xmlns:c16="http://schemas.microsoft.com/office/drawing/2014/chart" uri="{C3380CC4-5D6E-409C-BE32-E72D297353CC}">
                <c16:uniqueId val="{00000012-CB9A-4310-9269-E8CBD3E80B27}"/>
              </c:ext>
            </c:extLst>
          </c:dPt>
          <c:dPt>
            <c:idx val="10"/>
            <c:bubble3D val="0"/>
            <c:spPr>
              <a:gradFill rotWithShape="0">
                <a:gsLst>
                  <a:gs pos="0">
                    <a:srgbClr xmlns:mc="http://schemas.openxmlformats.org/markup-compatibility/2006" xmlns:a14="http://schemas.microsoft.com/office/drawing/2010/main" val="767600" mc:Ignorable="a14" a14:legacySpreadsheetColorIndex="34">
                      <a:gamma/>
                      <a:shade val="46275"/>
                      <a:invGamma/>
                    </a:srgbClr>
                  </a:gs>
                  <a:gs pos="100000">
                    <a:srgbClr xmlns:mc="http://schemas.openxmlformats.org/markup-compatibility/2006" xmlns:a14="http://schemas.microsoft.com/office/drawing/2010/main" val="FFFF00" mc:Ignorable="a14" a14:legacySpreadsheetColorIndex="34"/>
                  </a:gs>
                </a:gsLst>
                <a:lin ang="0" scaled="1"/>
              </a:gradFill>
              <a:ln w="12700">
                <a:solidFill>
                  <a:srgbClr val="000000"/>
                </a:solidFill>
                <a:prstDash val="solid"/>
              </a:ln>
            </c:spPr>
            <c:extLst>
              <c:ext xmlns:c16="http://schemas.microsoft.com/office/drawing/2014/chart" uri="{C3380CC4-5D6E-409C-BE32-E72D297353CC}">
                <c16:uniqueId val="{00000014-CB9A-4310-9269-E8CBD3E80B27}"/>
              </c:ext>
            </c:extLst>
          </c:dPt>
          <c:dPt>
            <c:idx val="11"/>
            <c:bubble3D val="0"/>
            <c:spPr>
              <a:gradFill rotWithShape="0">
                <a:gsLst>
                  <a:gs pos="0">
                    <a:srgbClr xmlns:mc="http://schemas.openxmlformats.org/markup-compatibility/2006" xmlns:a14="http://schemas.microsoft.com/office/drawing/2010/main" val="003B00" mc:Ignorable="a14" a14:legacySpreadsheetColorIndex="17">
                      <a:gamma/>
                      <a:shade val="46275"/>
                      <a:invGamma/>
                    </a:srgbClr>
                  </a:gs>
                  <a:gs pos="100000">
                    <a:srgbClr xmlns:mc="http://schemas.openxmlformats.org/markup-compatibility/2006" xmlns:a14="http://schemas.microsoft.com/office/drawing/2010/main" val="008000" mc:Ignorable="a14" a14:legacySpreadsheetColorIndex="17"/>
                  </a:gs>
                </a:gsLst>
                <a:lin ang="0" scaled="1"/>
              </a:gradFill>
              <a:ln w="12700">
                <a:solidFill>
                  <a:srgbClr val="000000"/>
                </a:solidFill>
                <a:prstDash val="solid"/>
              </a:ln>
            </c:spPr>
            <c:extLst>
              <c:ext xmlns:c16="http://schemas.microsoft.com/office/drawing/2014/chart" uri="{C3380CC4-5D6E-409C-BE32-E72D297353CC}">
                <c16:uniqueId val="{00000016-CB9A-4310-9269-E8CBD3E80B27}"/>
              </c:ext>
            </c:extLst>
          </c:dPt>
          <c:dLbls>
            <c:numFmt formatCode="#,##0.00" sourceLinked="0"/>
            <c:spPr>
              <a:solidFill>
                <a:schemeClr val="bg1"/>
              </a:solidFill>
              <a:ln w="25400">
                <a:noFill/>
              </a:ln>
            </c:spPr>
            <c:txPr>
              <a:bodyPr/>
              <a:lstStyle/>
              <a:p>
                <a:pPr>
                  <a:defRPr sz="900" b="1" i="0" u="none" strike="noStrike" baseline="0">
                    <a:solidFill>
                      <a:srgbClr val="000000"/>
                    </a:solidFill>
                    <a:latin typeface="Arial"/>
                    <a:ea typeface="Arial"/>
                    <a:cs typeface="Arial"/>
                  </a:defRPr>
                </a:pPr>
                <a:endParaRPr lang="en-US"/>
              </a:p>
            </c:txPr>
            <c:dLblPos val="ctr"/>
            <c:showLegendKey val="0"/>
            <c:showVal val="1"/>
            <c:showCatName val="1"/>
            <c:showSerName val="0"/>
            <c:showPercent val="0"/>
            <c:showBubbleSize val="0"/>
            <c:separator>
</c:separator>
            <c:showLeaderLines val="1"/>
            <c:extLst>
              <c:ext xmlns:c15="http://schemas.microsoft.com/office/drawing/2012/chart" uri="{CE6537A1-D6FC-4f65-9D91-7224C49458BB}"/>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DataSource_1!$L$5:$L$16</c:f>
              <c:numCache>
                <c:formatCode>"$"#,##0</c:formatCode>
                <c:ptCount val="12"/>
                <c:pt idx="0">
                  <c:v>0</c:v>
                </c:pt>
                <c:pt idx="1">
                  <c:v>0</c:v>
                </c:pt>
                <c:pt idx="2">
                  <c:v>28491.019125509898</c:v>
                </c:pt>
                <c:pt idx="3">
                  <c:v>26154.793326426123</c:v>
                </c:pt>
                <c:pt idx="4">
                  <c:v>32449.003968889665</c:v>
                </c:pt>
                <c:pt idx="5">
                  <c:v>33037.928561472632</c:v>
                </c:pt>
                <c:pt idx="6">
                  <c:v>25441.592531849055</c:v>
                </c:pt>
                <c:pt idx="7">
                  <c:v>28261.999150227195</c:v>
                </c:pt>
                <c:pt idx="8">
                  <c:v>25579.205148257235</c:v>
                </c:pt>
                <c:pt idx="9">
                  <c:v>26605.747832777342</c:v>
                </c:pt>
                <c:pt idx="10">
                  <c:v>28159.790301160589</c:v>
                </c:pt>
                <c:pt idx="11">
                  <c:v>26662.089425648359</c:v>
                </c:pt>
              </c:numCache>
            </c:numRef>
          </c:val>
          <c:extLst>
            <c:ext xmlns:c16="http://schemas.microsoft.com/office/drawing/2014/chart" uri="{C3380CC4-5D6E-409C-BE32-E72D297353CC}">
              <c16:uniqueId val="{00000017-CB9A-4310-9269-E8CBD3E80B27}"/>
            </c:ext>
          </c:extLst>
        </c:ser>
        <c:dLbls>
          <c:showLegendKey val="0"/>
          <c:showVal val="1"/>
          <c:showCatName val="1"/>
          <c:showSerName val="0"/>
          <c:showPercent val="1"/>
          <c:showBubbleSize val="0"/>
          <c:separator>
</c:separator>
          <c:showLeaderLines val="1"/>
        </c:dLbls>
      </c:pie3DChart>
      <c:spPr>
        <a:noFill/>
        <a:ln w="25400">
          <a:noFill/>
        </a:ln>
      </c:spPr>
    </c:plotArea>
    <c:legend>
      <c:legendPos val="b"/>
      <c:layout>
        <c:manualLayout>
          <c:xMode val="edge"/>
          <c:yMode val="edge"/>
          <c:x val="1.1098779134295227E-2"/>
          <c:y val="0.92822185970636217"/>
          <c:w val="0.98113207547169812"/>
          <c:h val="5.5464926590538338E-2"/>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sz="1800">
                <a:latin typeface="Arial" panose="020B0604020202020204" pitchFamily="34" charset="0"/>
                <a:cs typeface="Arial" panose="020B0604020202020204" pitchFamily="34" charset="0"/>
              </a:rPr>
              <a:t>Wireless Spend and Number of Devices</a:t>
            </a:r>
          </a:p>
        </c:rich>
      </c:tx>
      <c:layout>
        <c:manualLayout>
          <c:xMode val="edge"/>
          <c:yMode val="edge"/>
          <c:x val="0.27493578900916277"/>
          <c:y val="8.1566048067457694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0.18423973362930077"/>
          <c:y val="0.22022838499184338"/>
          <c:w val="0.7380688124306326"/>
          <c:h val="0.60358890701468193"/>
        </c:manualLayout>
      </c:layout>
      <c:barChart>
        <c:barDir val="col"/>
        <c:grouping val="clustered"/>
        <c:varyColors val="0"/>
        <c:ser>
          <c:idx val="0"/>
          <c:order val="0"/>
          <c:tx>
            <c:v>Monthly Wireless Spend</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solidFill>
                <a:schemeClr val="accent1">
                  <a:lumMod val="20000"/>
                  <a:lumOff val="80000"/>
                </a:schemeClr>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extLst>
            <c:ext xmlns:c16="http://schemas.microsoft.com/office/drawing/2014/chart" uri="{C3380CC4-5D6E-409C-BE32-E72D297353CC}">
              <c16:uniqueId val="{00000000-686C-420D-B1A6-B6EE42E97332}"/>
            </c:ext>
          </c:extLst>
        </c:ser>
        <c:dLbls>
          <c:showLegendKey val="0"/>
          <c:showVal val="1"/>
          <c:showCatName val="0"/>
          <c:showSerName val="0"/>
          <c:showPercent val="0"/>
          <c:showBubbleSize val="0"/>
        </c:dLbls>
        <c:gapWidth val="150"/>
        <c:axId val="183828480"/>
        <c:axId val="183830016"/>
      </c:barChart>
      <c:lineChart>
        <c:grouping val="standard"/>
        <c:varyColors val="0"/>
        <c:ser>
          <c:idx val="1"/>
          <c:order val="1"/>
          <c:tx>
            <c:v>No. of Devices</c:v>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s>
            <c:numFmt formatCode="General" sourceLinked="0"/>
            <c:spPr>
              <a:solidFill>
                <a:schemeClr val="bg1"/>
              </a:solid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DataSource_1!$C$5:$C$16</c:f>
              <c:numCache>
                <c:formatCode>General</c:formatCode>
                <c:ptCount val="12"/>
                <c:pt idx="0">
                  <c:v>433</c:v>
                </c:pt>
                <c:pt idx="1">
                  <c:v>453</c:v>
                </c:pt>
                <c:pt idx="2">
                  <c:v>460</c:v>
                </c:pt>
                <c:pt idx="3">
                  <c:v>479</c:v>
                </c:pt>
                <c:pt idx="4">
                  <c:v>480</c:v>
                </c:pt>
                <c:pt idx="5">
                  <c:v>478</c:v>
                </c:pt>
                <c:pt idx="6">
                  <c:v>489</c:v>
                </c:pt>
                <c:pt idx="7">
                  <c:v>489</c:v>
                </c:pt>
                <c:pt idx="8">
                  <c:v>491</c:v>
                </c:pt>
                <c:pt idx="9">
                  <c:v>476</c:v>
                </c:pt>
                <c:pt idx="10">
                  <c:v>484</c:v>
                </c:pt>
                <c:pt idx="11">
                  <c:v>479</c:v>
                </c:pt>
              </c:numCache>
            </c:numRef>
          </c:val>
          <c:smooth val="1"/>
          <c:extLst>
            <c:ext xmlns:c16="http://schemas.microsoft.com/office/drawing/2014/chart" uri="{C3380CC4-5D6E-409C-BE32-E72D297353CC}">
              <c16:uniqueId val="{00000001-686C-420D-B1A6-B6EE42E97332}"/>
            </c:ext>
          </c:extLst>
        </c:ser>
        <c:dLbls>
          <c:showLegendKey val="0"/>
          <c:showVal val="1"/>
          <c:showCatName val="0"/>
          <c:showSerName val="0"/>
          <c:showPercent val="0"/>
          <c:showBubbleSize val="0"/>
        </c:dLbls>
        <c:marker val="1"/>
        <c:smooth val="0"/>
        <c:axId val="183831552"/>
        <c:axId val="183841536"/>
      </c:lineChart>
      <c:dateAx>
        <c:axId val="183828480"/>
        <c:scaling>
          <c:orientation val="minMax"/>
        </c:scaling>
        <c:delete val="1"/>
        <c:axPos val="b"/>
        <c:majorGridlines>
          <c:spPr>
            <a:ln w="9525" cap="flat" cmpd="sng" algn="ctr">
              <a:solidFill>
                <a:schemeClr val="tx1">
                  <a:lumMod val="15000"/>
                  <a:lumOff val="85000"/>
                </a:schemeClr>
              </a:solidFill>
              <a:round/>
            </a:ln>
            <a:effectLst/>
          </c:spPr>
        </c:majorGridlines>
        <c:numFmt formatCode="mmm\-yy" sourceLinked="0"/>
        <c:majorTickMark val="out"/>
        <c:minorTickMark val="none"/>
        <c:tickLblPos val="nextTo"/>
        <c:crossAx val="183830016"/>
        <c:crosses val="autoZero"/>
        <c:auto val="1"/>
        <c:lblOffset val="100"/>
        <c:baseTimeUnit val="months"/>
        <c:majorUnit val="1"/>
        <c:majorTimeUnit val="months"/>
        <c:minorUnit val="1"/>
        <c:minorTimeUnit val="months"/>
      </c:dateAx>
      <c:valAx>
        <c:axId val="18383001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28480"/>
        <c:crosses val="autoZero"/>
        <c:crossBetween val="between"/>
      </c:valAx>
      <c:dateAx>
        <c:axId val="183831552"/>
        <c:scaling>
          <c:orientation val="minMax"/>
        </c:scaling>
        <c:delete val="1"/>
        <c:axPos val="b"/>
        <c:numFmt formatCode="mmm\ yyyy" sourceLinked="1"/>
        <c:majorTickMark val="out"/>
        <c:minorTickMark val="none"/>
        <c:tickLblPos val="nextTo"/>
        <c:crossAx val="183841536"/>
        <c:crosses val="autoZero"/>
        <c:auto val="1"/>
        <c:lblOffset val="100"/>
        <c:baseTimeUnit val="months"/>
      </c:dateAx>
      <c:valAx>
        <c:axId val="183841536"/>
        <c:scaling>
          <c:orientation val="minMax"/>
        </c:scaling>
        <c:delete val="0"/>
        <c:axPos val="r"/>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831552"/>
        <c:crosses val="max"/>
        <c:crossBetween val="between"/>
      </c:valAx>
      <c:dTable>
        <c:showHorzBorder val="1"/>
        <c:showVertBorder val="1"/>
        <c:showOutline val="1"/>
        <c:showKeys val="0"/>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gradFill>
          <a:gsLst>
            <a:gs pos="0">
              <a:srgbClr xmlns:mc="http://schemas.openxmlformats.org/markup-compatibility/2006" xmlns:a14="http://schemas.microsoft.com/office/drawing/2010/main" val="764700" mc:Ignorable="a14" a14:legacySpreadsheetColorIndex="52">
                <a:gamma/>
                <a:shade val="46275"/>
                <a:invGamma/>
              </a:srgbClr>
            </a:gs>
            <a:gs pos="50000">
              <a:srgbClr xmlns:mc="http://schemas.openxmlformats.org/markup-compatibility/2006" xmlns:a14="http://schemas.microsoft.com/office/drawing/2010/main" val="FF9900" mc:Ignorable="a14" a14:legacySpreadsheetColorIndex="52"/>
            </a:gs>
            <a:gs pos="100000">
              <a:srgbClr xmlns:mc="http://schemas.openxmlformats.org/markup-compatibility/2006" xmlns:a14="http://schemas.microsoft.com/office/drawing/2010/main" val="764700" mc:Ignorable="a14" a14:legacySpreadsheetColorIndex="52">
                <a:gamma/>
                <a:shade val="46275"/>
                <a:invGamma/>
              </a:srgbClr>
            </a:gs>
          </a:gsLst>
          <a:lin ang="0" scaled="1"/>
        </a:gradFill>
        <a:ln>
          <a:noFill/>
        </a:ln>
        <a:effectLst/>
      </c:spPr>
    </c:plotArea>
    <c:legend>
      <c:legendPos val="t"/>
      <c:layout>
        <c:manualLayout>
          <c:xMode val="edge"/>
          <c:yMode val="edge"/>
          <c:x val="0.32679997284695578"/>
          <c:y val="0.15417445861050505"/>
          <c:w val="0.39347927354624013"/>
          <c:h val="4.2077784533514469E-2"/>
        </c:manualLayout>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a:pPr>
            <a:r>
              <a:rPr lang="en-US" sz="1800" b="1"/>
              <a:t> Net Savings</a:t>
            </a:r>
            <a:r>
              <a:rPr lang="en-US" sz="1800" b="1" baseline="0"/>
              <a:t> </a:t>
            </a:r>
            <a:r>
              <a:rPr lang="en-US" sz="1800" b="1"/>
              <a:t>vs SourceMobile Cost</a:t>
            </a:r>
          </a:p>
        </c:rich>
      </c:tx>
      <c:layout>
        <c:manualLayout>
          <c:xMode val="edge"/>
          <c:yMode val="edge"/>
          <c:x val="0.2979904060022715"/>
          <c:y val="7.850467482288799E-2"/>
        </c:manualLayout>
      </c:layout>
      <c:overlay val="0"/>
    </c:title>
    <c:autoTitleDeleted val="0"/>
    <c:plotArea>
      <c:layout>
        <c:manualLayout>
          <c:layoutTarget val="inner"/>
          <c:xMode val="edge"/>
          <c:yMode val="edge"/>
          <c:x val="0.15427302996670367"/>
          <c:y val="0.24143556280587275"/>
          <c:w val="0.78357380688124312"/>
          <c:h val="0.55954323001631323"/>
        </c:manualLayout>
      </c:layout>
      <c:barChart>
        <c:barDir val="col"/>
        <c:grouping val="clustered"/>
        <c:varyColors val="0"/>
        <c:ser>
          <c:idx val="4"/>
          <c:order val="2"/>
          <c:tx>
            <c:v>Net Monthly Savings</c:v>
          </c:tx>
          <c:spPr>
            <a:solidFill>
              <a:srgbClr val="99CC00"/>
            </a:solidFill>
            <a:ln w="12700">
              <a:solidFill>
                <a:srgbClr val="000000"/>
              </a:solidFill>
              <a:prstDash val="solid"/>
            </a:ln>
            <a:effectLst>
              <a:outerShdw dist="35921" dir="2700000" algn="br">
                <a:srgbClr val="000000"/>
              </a:outerShdw>
            </a:effectLst>
          </c:spPr>
          <c:invertIfNegative val="0"/>
          <c:dLbls>
            <c:dLbl>
              <c:idx val="0"/>
              <c:layout>
                <c:manualLayout>
                  <c:x val="4.4515102595627729E-3"/>
                  <c:y val="4.75815254392406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50E-4EBC-B34F-4ECCB21FF4C5}"/>
                </c:ext>
              </c:extLst>
            </c:dLbl>
            <c:dLbl>
              <c:idx val="1"/>
              <c:layout>
                <c:manualLayout>
                  <c:x val="-4.4515102595627729E-3"/>
                  <c:y val="4.776490906284271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50E-4EBC-B34F-4ECCB21FF4C5}"/>
                </c:ext>
              </c:extLst>
            </c:dLbl>
            <c:spPr>
              <a:noFill/>
              <a:ln>
                <a:noFill/>
              </a:ln>
              <a:effectLst/>
            </c:spPr>
            <c:txPr>
              <a:bodyPr wrap="square" lIns="38100" tIns="19050" rIns="38100" bIns="19050" anchor="ctr">
                <a:spAutoFit/>
              </a:bodyPr>
              <a:lstStyle/>
              <a:p>
                <a:pPr>
                  <a:defRPr>
                    <a:solidFill>
                      <a:schemeClr val="bg1"/>
                    </a:solidFill>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DataSource_1!$O$5:$O$16</c:f>
              <c:numCache>
                <c:formatCode>"$"#,##0</c:formatCode>
                <c:ptCount val="12"/>
                <c:pt idx="0">
                  <c:v>-2056.75</c:v>
                </c:pt>
                <c:pt idx="1">
                  <c:v>-2151.75</c:v>
                </c:pt>
                <c:pt idx="2">
                  <c:v>26306.019125509898</c:v>
                </c:pt>
                <c:pt idx="3">
                  <c:v>23879.543326426123</c:v>
                </c:pt>
                <c:pt idx="4">
                  <c:v>30169.003968889665</c:v>
                </c:pt>
                <c:pt idx="5">
                  <c:v>30767.428561472632</c:v>
                </c:pt>
                <c:pt idx="6">
                  <c:v>23118.842531849055</c:v>
                </c:pt>
                <c:pt idx="7">
                  <c:v>25939.249150227195</c:v>
                </c:pt>
                <c:pt idx="8">
                  <c:v>23246.955148257235</c:v>
                </c:pt>
                <c:pt idx="9">
                  <c:v>24344.747832777342</c:v>
                </c:pt>
                <c:pt idx="10">
                  <c:v>25860.790301160589</c:v>
                </c:pt>
                <c:pt idx="11">
                  <c:v>24386.839425648359</c:v>
                </c:pt>
              </c:numCache>
            </c:numRef>
          </c:val>
          <c:extLst>
            <c:ext xmlns:c16="http://schemas.microsoft.com/office/drawing/2014/chart" uri="{C3380CC4-5D6E-409C-BE32-E72D297353CC}">
              <c16:uniqueId val="{00000000-9D13-4F5F-93FF-72193542C872}"/>
            </c:ext>
          </c:extLst>
        </c:ser>
        <c:ser>
          <c:idx val="5"/>
          <c:order val="3"/>
          <c:tx>
            <c:v>Net Cumulative Savings</c:v>
          </c:tx>
          <c:spPr>
            <a:solidFill>
              <a:srgbClr val="008000"/>
            </a:solidFill>
            <a:ln w="12700">
              <a:solidFill>
                <a:srgbClr val="0000FF"/>
              </a:solidFill>
              <a:prstDash val="solid"/>
            </a:ln>
            <a:effectLst>
              <a:outerShdw dist="35921" dir="2700000" algn="br">
                <a:srgbClr val="000000"/>
              </a:outerShdw>
            </a:effectLst>
          </c:spPr>
          <c:invertIfNegative val="0"/>
          <c:dLbls>
            <c:dLbl>
              <c:idx val="0"/>
              <c:layout>
                <c:manualLayout>
                  <c:x val="8.9030205191254919E-3"/>
                  <c:y val="7.85046748228879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3D6-40AC-936C-8A36DC6A82C5}"/>
                </c:ext>
              </c:extLst>
            </c:dLbl>
            <c:dLbl>
              <c:idx val="1"/>
              <c:layout>
                <c:manualLayout>
                  <c:x val="-1.483836753187591E-3"/>
                  <c:y val="7.63239894111411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03D6-40AC-936C-8A36DC6A82C5}"/>
                </c:ext>
              </c:extLst>
            </c:dLbl>
            <c:spPr>
              <a:noFill/>
              <a:ln>
                <a:noFill/>
              </a:ln>
              <a:effectLst/>
            </c:spPr>
            <c:txPr>
              <a:bodyPr wrap="square" lIns="38100" tIns="19050" rIns="38100" bIns="19050" anchor="ctr">
                <a:spAutoFit/>
              </a:bodyPr>
              <a:lstStyle/>
              <a:p>
                <a:pPr>
                  <a:defRPr sz="9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DataSource_1!$P$5:$P$16</c:f>
              <c:numCache>
                <c:formatCode>"$"#,##0</c:formatCode>
                <c:ptCount val="12"/>
                <c:pt idx="0">
                  <c:v>-2056.75</c:v>
                </c:pt>
                <c:pt idx="1">
                  <c:v>-4208.5</c:v>
                </c:pt>
                <c:pt idx="2">
                  <c:v>22097.519125509898</c:v>
                </c:pt>
                <c:pt idx="3">
                  <c:v>45977.062451936021</c:v>
                </c:pt>
                <c:pt idx="4">
                  <c:v>76146.066420825693</c:v>
                </c:pt>
                <c:pt idx="5">
                  <c:v>106913.49498229832</c:v>
                </c:pt>
                <c:pt idx="6">
                  <c:v>130032.33751414737</c:v>
                </c:pt>
                <c:pt idx="7">
                  <c:v>155971.58666437457</c:v>
                </c:pt>
                <c:pt idx="8">
                  <c:v>179218.5418126318</c:v>
                </c:pt>
                <c:pt idx="9">
                  <c:v>203563.28964540915</c:v>
                </c:pt>
                <c:pt idx="10">
                  <c:v>229424.07994656975</c:v>
                </c:pt>
                <c:pt idx="11">
                  <c:v>253810.91937221811</c:v>
                </c:pt>
              </c:numCache>
            </c:numRef>
          </c:val>
          <c:extLst>
            <c:ext xmlns:c16="http://schemas.microsoft.com/office/drawing/2014/chart" uri="{C3380CC4-5D6E-409C-BE32-E72D297353CC}">
              <c16:uniqueId val="{00000002-9D13-4F5F-93FF-72193542C872}"/>
            </c:ext>
          </c:extLst>
        </c:ser>
        <c:dLbls>
          <c:showLegendKey val="0"/>
          <c:showVal val="0"/>
          <c:showCatName val="0"/>
          <c:showSerName val="0"/>
          <c:showPercent val="0"/>
          <c:showBubbleSize val="0"/>
        </c:dLbls>
        <c:gapWidth val="150"/>
        <c:axId val="168257792"/>
        <c:axId val="168280064"/>
      </c:barChart>
      <c:lineChart>
        <c:grouping val="standard"/>
        <c:varyColors val="0"/>
        <c:ser>
          <c:idx val="0"/>
          <c:order val="0"/>
          <c:tx>
            <c:v>Monthly Wireless Spend</c:v>
          </c:tx>
          <c:spPr>
            <a:ln w="38100">
              <a:solidFill>
                <a:srgbClr val="FF0000"/>
              </a:solidFill>
              <a:prstDash val="solid"/>
            </a:ln>
          </c:spPr>
          <c:marker>
            <c:symbol val="none"/>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smooth val="0"/>
          <c:extLst>
            <c:ext xmlns:c16="http://schemas.microsoft.com/office/drawing/2014/chart" uri="{C3380CC4-5D6E-409C-BE32-E72D297353CC}">
              <c16:uniqueId val="{00000009-9D13-4F5F-93FF-72193542C872}"/>
            </c:ext>
          </c:extLst>
        </c:ser>
        <c:dLbls>
          <c:showLegendKey val="0"/>
          <c:showVal val="0"/>
          <c:showCatName val="0"/>
          <c:showSerName val="0"/>
          <c:showPercent val="0"/>
          <c:showBubbleSize val="0"/>
        </c:dLbls>
        <c:marker val="1"/>
        <c:smooth val="0"/>
        <c:axId val="168257792"/>
        <c:axId val="168280064"/>
      </c:lineChart>
      <c:lineChart>
        <c:grouping val="standard"/>
        <c:varyColors val="0"/>
        <c:ser>
          <c:idx val="3"/>
          <c:order val="1"/>
          <c:tx>
            <c:v>MobileManager Cost per User</c:v>
          </c:tx>
          <c:spPr>
            <a:ln w="38100">
              <a:solidFill>
                <a:srgbClr val="800000"/>
              </a:solidFill>
              <a:prstDash val="solid"/>
            </a:ln>
          </c:spPr>
          <c:marker>
            <c:symbol val="none"/>
          </c:marker>
          <c:dLbls>
            <c:spPr>
              <a:solidFill>
                <a:schemeClr val="accent4">
                  <a:lumMod val="75000"/>
                </a:schemeClr>
              </a:solid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DataSource_1!$N$5:$N$16</c:f>
              <c:numCache>
                <c:formatCode>"$"#,##0.00</c:formatCode>
                <c:ptCount val="12"/>
                <c:pt idx="0">
                  <c:v>2056.75</c:v>
                </c:pt>
                <c:pt idx="1">
                  <c:v>2151.75</c:v>
                </c:pt>
                <c:pt idx="2">
                  <c:v>2185</c:v>
                </c:pt>
                <c:pt idx="3">
                  <c:v>2275.25</c:v>
                </c:pt>
                <c:pt idx="4">
                  <c:v>2280</c:v>
                </c:pt>
                <c:pt idx="5">
                  <c:v>2270.5</c:v>
                </c:pt>
                <c:pt idx="6">
                  <c:v>2322.75</c:v>
                </c:pt>
                <c:pt idx="7">
                  <c:v>2322.75</c:v>
                </c:pt>
                <c:pt idx="8">
                  <c:v>2332.25</c:v>
                </c:pt>
                <c:pt idx="9">
                  <c:v>2261</c:v>
                </c:pt>
                <c:pt idx="10">
                  <c:v>2299</c:v>
                </c:pt>
                <c:pt idx="11">
                  <c:v>2275.25</c:v>
                </c:pt>
              </c:numCache>
            </c:numRef>
          </c:val>
          <c:smooth val="0"/>
          <c:extLst>
            <c:ext xmlns:c16="http://schemas.microsoft.com/office/drawing/2014/chart" uri="{C3380CC4-5D6E-409C-BE32-E72D297353CC}">
              <c16:uniqueId val="{00000011-9D13-4F5F-93FF-72193542C872}"/>
            </c:ext>
          </c:extLst>
        </c:ser>
        <c:dLbls>
          <c:showLegendKey val="0"/>
          <c:showVal val="0"/>
          <c:showCatName val="0"/>
          <c:showSerName val="0"/>
          <c:showPercent val="0"/>
          <c:showBubbleSize val="0"/>
        </c:dLbls>
        <c:marker val="1"/>
        <c:smooth val="0"/>
        <c:axId val="276687807"/>
        <c:axId val="276687327"/>
      </c:lineChart>
      <c:catAx>
        <c:axId val="168257792"/>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68280064"/>
        <c:crosses val="autoZero"/>
        <c:auto val="0"/>
        <c:lblAlgn val="ctr"/>
        <c:lblOffset val="100"/>
        <c:tickLblSkip val="1"/>
        <c:tickMarkSkip val="1"/>
        <c:noMultiLvlLbl val="1"/>
      </c:catAx>
      <c:valAx>
        <c:axId val="168280064"/>
        <c:scaling>
          <c:orientation val="minMax"/>
          <c:min val="-5000"/>
        </c:scaling>
        <c:delete val="0"/>
        <c:axPos val="l"/>
        <c:majorGridlines>
          <c:spPr>
            <a:ln w="3175">
              <a:solidFill>
                <a:srgbClr val="000000"/>
              </a:solidFill>
              <a:prstDash val="solid"/>
            </a:ln>
          </c:spPr>
        </c:majorGridlines>
        <c:numFmt formatCode="\$#,##0" sourceLinked="0"/>
        <c:majorTickMark val="out"/>
        <c:minorTickMark val="none"/>
        <c:tickLblPos val="nextTo"/>
        <c:spPr>
          <a:ln w="9525">
            <a:noFill/>
          </a:ln>
        </c:spPr>
        <c:txPr>
          <a:bodyPr rot="0" vert="horz"/>
          <a:lstStyle/>
          <a:p>
            <a:pPr>
              <a:defRPr/>
            </a:pPr>
            <a:endParaRPr lang="en-US"/>
          </a:p>
        </c:txPr>
        <c:crossAx val="168257792"/>
        <c:crosses val="autoZero"/>
        <c:crossBetween val="between"/>
      </c:valAx>
      <c:valAx>
        <c:axId val="276687327"/>
        <c:scaling>
          <c:orientation val="minMax"/>
        </c:scaling>
        <c:delete val="0"/>
        <c:axPos val="r"/>
        <c:numFmt formatCode="&quot;$&quot;#,##0.00" sourceLinked="1"/>
        <c:majorTickMark val="out"/>
        <c:minorTickMark val="none"/>
        <c:tickLblPos val="nextTo"/>
        <c:crossAx val="276687807"/>
        <c:crosses val="max"/>
        <c:crossBetween val="between"/>
      </c:valAx>
      <c:dateAx>
        <c:axId val="276687807"/>
        <c:scaling>
          <c:orientation val="minMax"/>
        </c:scaling>
        <c:delete val="1"/>
        <c:axPos val="t"/>
        <c:numFmt formatCode="mmm\ yyyy" sourceLinked="1"/>
        <c:majorTickMark val="out"/>
        <c:minorTickMark val="none"/>
        <c:tickLblPos val="nextTo"/>
        <c:crossAx val="276687327"/>
        <c:crosses val="max"/>
        <c:auto val="1"/>
        <c:lblOffset val="100"/>
        <c:baseTimeUnit val="months"/>
      </c:dateAx>
      <c:dTable>
        <c:showHorzBorder val="1"/>
        <c:showVertBorder val="1"/>
        <c:showOutline val="1"/>
        <c:showKeys val="0"/>
        <c:txPr>
          <a:bodyPr/>
          <a:lstStyle/>
          <a:p>
            <a:pPr rtl="0">
              <a:defRPr sz="900"/>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plotArea>
    <c:legend>
      <c:legendPos val="r"/>
      <c:layout>
        <c:manualLayout>
          <c:xMode val="edge"/>
          <c:yMode val="edge"/>
          <c:x val="0.20088790233074361"/>
          <c:y val="0.16041326808047851"/>
          <c:w val="0.68146503884572696"/>
          <c:h val="3.588907014681892E-2"/>
        </c:manualLayout>
      </c:layout>
      <c:overlay val="0"/>
      <c:spPr>
        <a:solidFill>
          <a:srgbClr val="FFFFFF"/>
        </a:solidFill>
        <a:ln w="3175">
          <a:solidFill>
            <a:srgbClr val="000000"/>
          </a:solidFill>
          <a:prstDash val="solid"/>
        </a:ln>
      </c:spPr>
      <c:txPr>
        <a:bodyPr/>
        <a:lstStyle/>
        <a:p>
          <a:pPr>
            <a:defRPr sz="800" b="0" i="0" u="none">
              <a:latin typeface="Arial" panose="020B0604020202020204" pitchFamily="34" charset="0"/>
            </a:defRPr>
          </a:pPr>
          <a:endParaRPr lang="en-US"/>
        </a:p>
      </c:txPr>
    </c:legend>
    <c:plotVisOnly val="1"/>
    <c:dispBlanksAs val="gap"/>
    <c:showDLblsOverMax val="0"/>
  </c:chart>
  <c:spPr>
    <a:noFill/>
    <a:ln w="9525">
      <a:noFill/>
    </a:ln>
  </c:spPr>
  <c:txPr>
    <a:bodyPr/>
    <a:lstStyle/>
    <a:p>
      <a:pPr>
        <a:defRPr sz="800" b="0" i="0" u="none" strike="noStrike" baseline="0">
          <a:solidFill>
            <a:srgbClr val="000000"/>
          </a:solidFill>
          <a:latin typeface="Arial" panose="020B0604020202020204" pitchFamily="34" charset="0"/>
          <a:ea typeface="Arial"/>
          <a:cs typeface="Arial"/>
        </a:defRPr>
      </a:pPr>
      <a:endParaRPr lang="en-US"/>
    </a:p>
  </c:txPr>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Total Spend &amp; Minutes Used</a:t>
            </a:r>
          </a:p>
        </c:rich>
      </c:tx>
      <c:layout>
        <c:manualLayout>
          <c:xMode val="edge"/>
          <c:yMode val="edge"/>
          <c:x val="0.31548332243433813"/>
          <c:y val="5.8660437575991306E-2"/>
        </c:manualLayout>
      </c:layout>
      <c:overlay val="0"/>
      <c:spPr>
        <a:noFill/>
        <a:ln w="25400">
          <a:noFill/>
        </a:ln>
      </c:spPr>
    </c:title>
    <c:autoTitleDeleted val="0"/>
    <c:plotArea>
      <c:layout>
        <c:manualLayout>
          <c:layoutTarget val="inner"/>
          <c:xMode val="edge"/>
          <c:yMode val="edge"/>
          <c:x val="0.16315205327413984"/>
          <c:y val="0.2267536704730832"/>
          <c:w val="0.77247502774694787"/>
          <c:h val="0.57259380097879287"/>
        </c:manualLayout>
      </c:layout>
      <c:barChart>
        <c:barDir val="col"/>
        <c:grouping val="stacked"/>
        <c:varyColors val="0"/>
        <c:ser>
          <c:idx val="0"/>
          <c:order val="0"/>
          <c:tx>
            <c:v>Usage Cost</c:v>
          </c:tx>
          <c:spPr>
            <a:gradFill rotWithShape="0">
              <a:gsLst>
                <a:gs pos="0">
                  <a:srgbClr xmlns:mc="http://schemas.openxmlformats.org/markup-compatibility/2006" xmlns:a14="http://schemas.microsoft.com/office/drawing/2010/main" val="003300" mc:Ignorable="a14" a14:legacySpreadsheetColorIndex="17">
                    <a:gamma/>
                    <a:shade val="40000"/>
                    <a:invGamma/>
                  </a:srgbClr>
                </a:gs>
                <a:gs pos="100000">
                  <a:srgbClr xmlns:mc="http://schemas.openxmlformats.org/markup-compatibility/2006" xmlns:a14="http://schemas.microsoft.com/office/drawing/2010/main" val="008000" mc:Ignorable="a14" a14:legacySpreadsheetColorIndex="17"/>
                </a:gs>
              </a:gsLst>
              <a:lin ang="0" scaled="1"/>
            </a:gradFill>
            <a:ln w="25400">
              <a:solidFill>
                <a:srgbClr val="000000"/>
              </a:solidFill>
              <a:prstDash val="solid"/>
            </a:ln>
            <a:effectLst>
              <a:outerShdw dist="35921" dir="2700000" algn="br">
                <a:srgbClr val="000000"/>
              </a:outerShdw>
            </a:effectLst>
          </c:spPr>
          <c:invertIfNegative val="0"/>
          <c:dLbls>
            <c:spPr>
              <a:solidFill>
                <a:srgbClr val="00CC66"/>
              </a:solid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DataSource_1!$AD$5:$AD$16</c:f>
              <c:numCache>
                <c:formatCode>"$"#,##0</c:formatCode>
                <c:ptCount val="12"/>
                <c:pt idx="0">
                  <c:v>24526.84</c:v>
                </c:pt>
                <c:pt idx="1">
                  <c:v>31104.01</c:v>
                </c:pt>
                <c:pt idx="2">
                  <c:v>8027.5400000000045</c:v>
                </c:pt>
                <c:pt idx="3">
                  <c:v>9784.0700000000033</c:v>
                </c:pt>
                <c:pt idx="4">
                  <c:v>11070.209999999995</c:v>
                </c:pt>
                <c:pt idx="5">
                  <c:v>10359.729999999992</c:v>
                </c:pt>
                <c:pt idx="6">
                  <c:v>6787.8899999999994</c:v>
                </c:pt>
                <c:pt idx="7">
                  <c:v>8135.8299999999981</c:v>
                </c:pt>
                <c:pt idx="8">
                  <c:v>7432.6800000000039</c:v>
                </c:pt>
                <c:pt idx="9">
                  <c:v>8645.489999999998</c:v>
                </c:pt>
                <c:pt idx="10">
                  <c:v>8845.5400000000009</c:v>
                </c:pt>
                <c:pt idx="11">
                  <c:v>6786.7200000000012</c:v>
                </c:pt>
              </c:numCache>
            </c:numRef>
          </c:val>
          <c:extLst>
            <c:ext xmlns:c16="http://schemas.microsoft.com/office/drawing/2014/chart" uri="{C3380CC4-5D6E-409C-BE32-E72D297353CC}">
              <c16:uniqueId val="{00000000-DED6-4017-BE8F-0DF917D6EBD0}"/>
            </c:ext>
          </c:extLst>
        </c:ser>
        <c:ser>
          <c:idx val="3"/>
          <c:order val="3"/>
          <c:tx>
            <c:v>Non Usage Cost</c:v>
          </c:tx>
          <c:spPr>
            <a:gradFill rotWithShape="0">
              <a:gsLst>
                <a:gs pos="0">
                  <a:srgbClr xmlns:mc="http://schemas.openxmlformats.org/markup-compatibility/2006" xmlns:a14="http://schemas.microsoft.com/office/drawing/2010/main" val="560000" mc:Ignorable="a14" a14:legacySpreadsheetColorIndex="10">
                    <a:gamma/>
                    <a:shade val="33725"/>
                    <a:invGamma/>
                  </a:srgbClr>
                </a:gs>
                <a:gs pos="100000">
                  <a:srgbClr xmlns:mc="http://schemas.openxmlformats.org/markup-compatibility/2006" xmlns:a14="http://schemas.microsoft.com/office/drawing/2010/main" val="FF0000" mc:Ignorable="a14" a14:legacySpreadsheetColorIndex="10"/>
                </a:gs>
              </a:gsLst>
              <a:lin ang="0" scaled="1"/>
            </a:gradFill>
            <a:ln w="25400">
              <a:solidFill>
                <a:srgbClr val="000000"/>
              </a:solidFill>
              <a:prstDash val="solid"/>
            </a:ln>
            <a:effectLst>
              <a:outerShdw dist="35921" dir="2700000" algn="br">
                <a:srgbClr val="000000"/>
              </a:outerShdw>
            </a:effectLst>
          </c:spPr>
          <c:invertIfNegative val="0"/>
          <c:dLbls>
            <c:spPr>
              <a:solidFill>
                <a:srgbClr val="FF9999"/>
              </a:solidFill>
              <a:ln>
                <a:noFill/>
              </a:ln>
              <a:effectLst/>
            </c:spPr>
            <c:dLblPos val="ct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DataSource_1!$AC$5:$AC$16</c:f>
              <c:numCache>
                <c:formatCode>"$"#,##0</c:formatCode>
                <c:ptCount val="12"/>
                <c:pt idx="0">
                  <c:v>23065.81</c:v>
                </c:pt>
                <c:pt idx="1">
                  <c:v>24400.789999999997</c:v>
                </c:pt>
                <c:pt idx="2">
                  <c:v>24654.67</c:v>
                </c:pt>
                <c:pt idx="3">
                  <c:v>25685.399999999998</c:v>
                </c:pt>
                <c:pt idx="4">
                  <c:v>25642.63</c:v>
                </c:pt>
                <c:pt idx="5">
                  <c:v>25534.27</c:v>
                </c:pt>
                <c:pt idx="6">
                  <c:v>25922.21</c:v>
                </c:pt>
                <c:pt idx="7">
                  <c:v>25540.820000000003</c:v>
                </c:pt>
                <c:pt idx="8">
                  <c:v>25536.399999999998</c:v>
                </c:pt>
                <c:pt idx="9">
                  <c:v>25049.35</c:v>
                </c:pt>
                <c:pt idx="10">
                  <c:v>25309.940000000002</c:v>
                </c:pt>
                <c:pt idx="11">
                  <c:v>25124.920000000002</c:v>
                </c:pt>
              </c:numCache>
            </c:numRef>
          </c:val>
          <c:extLst>
            <c:ext xmlns:c16="http://schemas.microsoft.com/office/drawing/2014/chart" uri="{C3380CC4-5D6E-409C-BE32-E72D297353CC}">
              <c16:uniqueId val="{00000001-DED6-4017-BE8F-0DF917D6EBD0}"/>
            </c:ext>
          </c:extLst>
        </c:ser>
        <c:dLbls>
          <c:showLegendKey val="0"/>
          <c:showVal val="0"/>
          <c:showCatName val="0"/>
          <c:showSerName val="0"/>
          <c:showPercent val="0"/>
          <c:showBubbleSize val="0"/>
        </c:dLbls>
        <c:gapWidth val="150"/>
        <c:overlap val="100"/>
        <c:axId val="158842240"/>
        <c:axId val="158852224"/>
      </c:barChart>
      <c:lineChart>
        <c:grouping val="standard"/>
        <c:varyColors val="0"/>
        <c:ser>
          <c:idx val="1"/>
          <c:order val="1"/>
          <c:tx>
            <c:v>Usage Cost Per Min</c:v>
          </c:tx>
          <c:spPr>
            <a:ln w="25400">
              <a:solidFill>
                <a:srgbClr val="FFCC00"/>
              </a:solidFill>
              <a:prstDash val="solid"/>
            </a:ln>
          </c:spPr>
          <c:marker>
            <c:symbol val="square"/>
            <c:size val="5"/>
            <c:spPr>
              <a:solidFill>
                <a:schemeClr val="bg1"/>
              </a:solidFill>
              <a:ln>
                <a:solidFill>
                  <a:srgbClr val="FFCC00"/>
                </a:solidFill>
                <a:prstDash val="solid"/>
              </a:ln>
            </c:spPr>
          </c:marker>
          <c:dLbls>
            <c:spPr>
              <a:noFill/>
              <a:ln>
                <a:noFill/>
              </a:ln>
              <a:effectLst/>
            </c:spPr>
            <c:txPr>
              <a:bodyPr wrap="square" lIns="38100" tIns="19050" rIns="38100" bIns="19050" anchor="ctr">
                <a:spAutoFit/>
              </a:bodyPr>
              <a:lstStyle/>
              <a:p>
                <a:pPr>
                  <a:defRPr b="1">
                    <a:solidFill>
                      <a:schemeClr val="bg1"/>
                    </a:solidFil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trendline>
            <c:spPr>
              <a:ln w="25400">
                <a:solidFill>
                  <a:srgbClr val="000000"/>
                </a:solidFill>
                <a:prstDash val="solid"/>
              </a:ln>
            </c:spPr>
            <c:trendlineType val="linear"/>
            <c:dispRSqr val="0"/>
            <c:dispEq val="0"/>
          </c:trendline>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DataSource_1!$AF$5:$AF$16</c:f>
              <c:numCache>
                <c:formatCode>"$"#,##0.00</c:formatCode>
                <c:ptCount val="12"/>
                <c:pt idx="0">
                  <c:v>0.27074952881737574</c:v>
                </c:pt>
                <c:pt idx="1">
                  <c:v>0.28653465530538852</c:v>
                </c:pt>
                <c:pt idx="2">
                  <c:v>0.15308307099098661</c:v>
                </c:pt>
                <c:pt idx="3">
                  <c:v>0.16492257775934427</c:v>
                </c:pt>
                <c:pt idx="4">
                  <c:v>0.15209977570022212</c:v>
                </c:pt>
                <c:pt idx="5">
                  <c:v>0.1492033536876847</c:v>
                </c:pt>
                <c:pt idx="6">
                  <c:v>0.16117462485501224</c:v>
                </c:pt>
                <c:pt idx="7">
                  <c:v>0.15579169762301504</c:v>
                </c:pt>
                <c:pt idx="8">
                  <c:v>0.16135031025442381</c:v>
                </c:pt>
                <c:pt idx="9">
                  <c:v>0.16011020310024623</c:v>
                </c:pt>
                <c:pt idx="10">
                  <c:v>0.15705185328238591</c:v>
                </c:pt>
                <c:pt idx="11">
                  <c:v>0.15610736856420399</c:v>
                </c:pt>
              </c:numCache>
            </c:numRef>
          </c:val>
          <c:smooth val="0"/>
          <c:extLst>
            <c:ext xmlns:c16="http://schemas.microsoft.com/office/drawing/2014/chart" uri="{C3380CC4-5D6E-409C-BE32-E72D297353CC}">
              <c16:uniqueId val="{00000003-DED6-4017-BE8F-0DF917D6EBD0}"/>
            </c:ext>
          </c:extLst>
        </c:ser>
        <c:ser>
          <c:idx val="2"/>
          <c:order val="2"/>
          <c:tx>
            <c:v>Usg Cost 12 Mo. Avg.</c:v>
          </c:tx>
          <c:spPr>
            <a:ln w="25400">
              <a:solidFill>
                <a:srgbClr val="800080"/>
              </a:solidFill>
              <a:prstDash val="solid"/>
            </a:ln>
          </c:spPr>
          <c:marker>
            <c:symbol val="none"/>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DataSource_1!$AG$5:$AG$16</c:f>
              <c:numCache>
                <c:formatCode>"$"#,##0.00</c:formatCode>
                <c:ptCount val="12"/>
                <c:pt idx="0">
                  <c:v>0.17734825166169074</c:v>
                </c:pt>
                <c:pt idx="1">
                  <c:v>0.17734825166169074</c:v>
                </c:pt>
                <c:pt idx="2">
                  <c:v>0.17734825166169074</c:v>
                </c:pt>
                <c:pt idx="3">
                  <c:v>0.17734825166169074</c:v>
                </c:pt>
                <c:pt idx="4">
                  <c:v>0.17734825166169074</c:v>
                </c:pt>
                <c:pt idx="5">
                  <c:v>0.17734825166169074</c:v>
                </c:pt>
                <c:pt idx="6">
                  <c:v>0.17734825166169074</c:v>
                </c:pt>
                <c:pt idx="7">
                  <c:v>0.17734825166169074</c:v>
                </c:pt>
                <c:pt idx="8">
                  <c:v>0.17734825166169074</c:v>
                </c:pt>
                <c:pt idx="9">
                  <c:v>0.17734825166169074</c:v>
                </c:pt>
                <c:pt idx="10">
                  <c:v>0.17734825166169074</c:v>
                </c:pt>
                <c:pt idx="11">
                  <c:v>0.17734825166169074</c:v>
                </c:pt>
              </c:numCache>
            </c:numRef>
          </c:val>
          <c:smooth val="0"/>
          <c:extLst>
            <c:ext xmlns:c16="http://schemas.microsoft.com/office/drawing/2014/chart" uri="{C3380CC4-5D6E-409C-BE32-E72D297353CC}">
              <c16:uniqueId val="{00000004-DED6-4017-BE8F-0DF917D6EBD0}"/>
            </c:ext>
          </c:extLst>
        </c:ser>
        <c:dLbls>
          <c:showLegendKey val="0"/>
          <c:showVal val="0"/>
          <c:showCatName val="0"/>
          <c:showSerName val="0"/>
          <c:showPercent val="0"/>
          <c:showBubbleSize val="0"/>
        </c:dLbls>
        <c:marker val="1"/>
        <c:smooth val="0"/>
        <c:axId val="158853760"/>
        <c:axId val="167981440"/>
      </c:lineChart>
      <c:dateAx>
        <c:axId val="158842240"/>
        <c:scaling>
          <c:orientation val="minMax"/>
        </c:scaling>
        <c:delete val="1"/>
        <c:axPos val="b"/>
        <c:majorGridlines>
          <c:spPr>
            <a:ln w="3175">
              <a:solidFill>
                <a:srgbClr val="000000"/>
              </a:solidFill>
              <a:prstDash val="solid"/>
            </a:ln>
          </c:spPr>
        </c:majorGridlines>
        <c:minorGridlines>
          <c:spPr>
            <a:ln w="3175">
              <a:solidFill>
                <a:srgbClr val="000000"/>
              </a:solidFill>
              <a:prstDash val="solid"/>
            </a:ln>
          </c:spPr>
        </c:minorGridlines>
        <c:numFmt formatCode="mmm\-yy" sourceLinked="0"/>
        <c:majorTickMark val="out"/>
        <c:minorTickMark val="none"/>
        <c:tickLblPos val="nextTo"/>
        <c:crossAx val="158852224"/>
        <c:crosses val="autoZero"/>
        <c:auto val="1"/>
        <c:lblOffset val="100"/>
        <c:baseTimeUnit val="months"/>
        <c:majorUnit val="1"/>
        <c:majorTimeUnit val="months"/>
        <c:minorUnit val="1"/>
        <c:minorTimeUnit val="months"/>
      </c:dateAx>
      <c:valAx>
        <c:axId val="1588522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3366"/>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58842240"/>
        <c:crosses val="autoZero"/>
        <c:crossBetween val="between"/>
      </c:valAx>
      <c:dateAx>
        <c:axId val="158853760"/>
        <c:scaling>
          <c:orientation val="minMax"/>
        </c:scaling>
        <c:delete val="1"/>
        <c:axPos val="b"/>
        <c:numFmt formatCode="mmm\ yyyy" sourceLinked="1"/>
        <c:majorTickMark val="out"/>
        <c:minorTickMark val="none"/>
        <c:tickLblPos val="nextTo"/>
        <c:crossAx val="167981440"/>
        <c:crosses val="autoZero"/>
        <c:auto val="1"/>
        <c:lblOffset val="100"/>
        <c:baseTimeUnit val="months"/>
      </c:dateAx>
      <c:valAx>
        <c:axId val="167981440"/>
        <c:scaling>
          <c:orientation val="minMax"/>
        </c:scaling>
        <c:delete val="0"/>
        <c:axPos val="r"/>
        <c:numFmt formatCode="&quot;$&quot;#,##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58853760"/>
        <c:crosses val="max"/>
        <c:crossBetween val="between"/>
      </c:valAx>
      <c:dTable>
        <c:showHorzBorder val="1"/>
        <c:showVertBorder val="1"/>
        <c:showOutline val="1"/>
        <c:showKeys val="0"/>
        <c:spPr>
          <a:ln w="3175">
            <a:solidFill>
              <a:srgbClr val="000000"/>
            </a:solidFill>
            <a:prstDash val="solid"/>
          </a:ln>
        </c:spPr>
        <c:txPr>
          <a:bodyPr/>
          <a:lstStyle/>
          <a:p>
            <a:pPr rtl="0">
              <a:defRPr sz="900" b="1"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plotArea>
    <c:legend>
      <c:legendPos val="t"/>
      <c:layout>
        <c:manualLayout>
          <c:xMode val="edge"/>
          <c:yMode val="edge"/>
          <c:x val="5.890306141226441E-2"/>
          <c:y val="0.13018691908128927"/>
          <c:w val="0.89999991821372216"/>
          <c:h val="3.7209533132424095E-2"/>
        </c:manualLayout>
      </c:layout>
      <c:overlay val="0"/>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Monthly Spend vs. Cumulative Savings</a:t>
            </a:r>
          </a:p>
        </c:rich>
      </c:tx>
      <c:layout>
        <c:manualLayout>
          <c:xMode val="edge"/>
          <c:yMode val="edge"/>
          <c:x val="0.25749167591564925"/>
          <c:y val="8.4828711256117462E-2"/>
        </c:manualLayout>
      </c:layout>
      <c:overlay val="0"/>
      <c:spPr>
        <a:noFill/>
        <a:ln w="25400">
          <a:noFill/>
        </a:ln>
      </c:spPr>
    </c:title>
    <c:autoTitleDeleted val="0"/>
    <c:view3D>
      <c:rotX val="0"/>
      <c:hPercent val="100"/>
      <c:rotY val="0"/>
      <c:depthPercent val="100"/>
      <c:rAngAx val="0"/>
      <c:perspective val="44"/>
    </c:view3D>
    <c:floor>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9525">
          <a:noFill/>
        </a:ln>
      </c:spPr>
    </c:floor>
    <c:side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sideWall>
    <c:back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backWall>
    <c:plotArea>
      <c:layout>
        <c:manualLayout>
          <c:layoutTarget val="inner"/>
          <c:xMode val="edge"/>
          <c:yMode val="edge"/>
          <c:x val="0.1750659810795625"/>
          <c:y val="0.23492712819013242"/>
          <c:w val="0.85016648168701447"/>
          <c:h val="0.59869494290375203"/>
        </c:manualLayout>
      </c:layout>
      <c:area3DChart>
        <c:grouping val="standard"/>
        <c:varyColors val="0"/>
        <c:ser>
          <c:idx val="0"/>
          <c:order val="0"/>
          <c:tx>
            <c:v>Monthly Wireless Spend</c:v>
          </c:tx>
          <c:spPr>
            <a:pattFill prst="horzBrick">
              <a:fgClr>
                <a:srgbClr xmlns:mc="http://schemas.openxmlformats.org/markup-compatibility/2006" xmlns:a14="http://schemas.microsoft.com/office/drawing/2010/main" val="FFFFFF" mc:Ignorable="a14" a14:legacySpreadsheetColorIndex="9"/>
              </a:fgClr>
              <a:bgClr>
                <a:srgbClr xmlns:mc="http://schemas.openxmlformats.org/markup-compatibility/2006" xmlns:a14="http://schemas.microsoft.com/office/drawing/2010/main" val="FF0000" mc:Ignorable="a14" a14:legacySpreadsheetColorIndex="10"/>
              </a:bgClr>
            </a:pattFill>
            <a:ln w="25400">
              <a:solidFill>
                <a:srgbClr val="FFFFFF"/>
              </a:solidFill>
              <a:prstDash val="solid"/>
            </a:ln>
          </c:spPr>
          <c:dLbls>
            <c:dLbl>
              <c:idx val="0"/>
              <c:delete val="1"/>
              <c:extLst>
                <c:ext xmlns:c15="http://schemas.microsoft.com/office/drawing/2012/chart" uri="{CE6537A1-D6FC-4f65-9D91-7224C49458BB}"/>
                <c:ext xmlns:c16="http://schemas.microsoft.com/office/drawing/2014/chart" uri="{C3380CC4-5D6E-409C-BE32-E72D297353CC}">
                  <c16:uniqueId val="{00000000-7969-4032-BCEA-38D7251D6E21}"/>
                </c:ext>
              </c:extLst>
            </c:dLbl>
            <c:dLbl>
              <c:idx val="1"/>
              <c:layout>
                <c:manualLayout>
                  <c:x val="-3.116057181693941E-2"/>
                  <c:y val="2.6168224940962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31F8-4833-B4E3-6A310E7EFEAF}"/>
                </c:ext>
              </c:extLst>
            </c:dLbl>
            <c:dLbl>
              <c:idx val="2"/>
              <c:layout>
                <c:manualLayout>
                  <c:x val="-1.9289877791438682E-2"/>
                  <c:y val="1.30841124704813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31F8-4833-B4E3-6A310E7EFEAF}"/>
                </c:ext>
              </c:extLst>
            </c:dLbl>
            <c:dLbl>
              <c:idx val="3"/>
              <c:layout>
                <c:manualLayout>
                  <c:x val="-1.3354530778688319E-2"/>
                  <c:y val="-4.3613708234937773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31F8-4833-B4E3-6A310E7EFEAF}"/>
                </c:ext>
              </c:extLst>
            </c:dLbl>
            <c:dLbl>
              <c:idx val="4"/>
              <c:layout>
                <c:manualLayout>
                  <c:x val="-1.1870694025500728E-2"/>
                  <c:y val="1.74454832939751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31F8-4833-B4E3-6A310E7EFEAF}"/>
                </c:ext>
              </c:extLst>
            </c:dLbl>
            <c:dLbl>
              <c:idx val="5"/>
              <c:layout>
                <c:manualLayout>
                  <c:x val="-4.4515102595628821E-3"/>
                  <c:y val="-1.74454832939751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31F8-4833-B4E3-6A310E7EFEAF}"/>
                </c:ext>
              </c:extLst>
            </c:dLbl>
            <c:dLbl>
              <c:idx val="6"/>
              <c:layout>
                <c:manualLayout>
                  <c:x val="-7.4191837659379548E-3"/>
                  <c:y val="1.74454832939751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31F8-4833-B4E3-6A310E7EFEAF}"/>
                </c:ext>
              </c:extLst>
            </c:dLbl>
            <c:dLbl>
              <c:idx val="7"/>
              <c:layout>
                <c:manualLayout>
                  <c:x val="-8.9030205191255457E-3"/>
                  <c:y val="-4.361370823493936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31F8-4833-B4E3-6A310E7EFEAF}"/>
                </c:ext>
              </c:extLst>
            </c:dLbl>
            <c:dLbl>
              <c:idx val="8"/>
              <c:layout>
                <c:manualLayout>
                  <c:x val="-2.9676735063751819E-3"/>
                  <c:y val="1.526479788222822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31F8-4833-B4E3-6A310E7EFEAF}"/>
                </c:ext>
              </c:extLst>
            </c:dLbl>
            <c:dLbl>
              <c:idx val="9"/>
              <c:layout>
                <c:manualLayout>
                  <c:x val="-7.4191837659379548E-3"/>
                  <c:y val="-1.090342705873444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31F8-4833-B4E3-6A310E7EFEAF}"/>
                </c:ext>
              </c:extLst>
            </c:dLbl>
            <c:dLbl>
              <c:idx val="10"/>
              <c:layout>
                <c:manualLayout>
                  <c:x val="0"/>
                  <c:y val="1.96261687057219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31F8-4833-B4E3-6A310E7EFEAF}"/>
                </c:ext>
              </c:extLst>
            </c:dLbl>
            <c:dLbl>
              <c:idx val="11"/>
              <c:layout>
                <c:manualLayout>
                  <c:x val="-1.7806041038251091E-2"/>
                  <c:y val="-1.74454832939751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31F8-4833-B4E3-6A310E7EFEAF}"/>
                </c:ext>
              </c:extLst>
            </c:dLbl>
            <c:numFmt formatCode="\$#,##0" sourceLinked="0"/>
            <c:spPr>
              <a:solidFill>
                <a:srgbClr val="FF9933"/>
              </a:solidFill>
              <a:ln w="25400">
                <a:noFill/>
              </a:ln>
              <a:effectLst>
                <a:outerShdw dist="35921" dir="2700000" algn="br">
                  <a:srgbClr val="000000"/>
                </a:outerShdw>
              </a:effectLst>
            </c:spPr>
            <c:txPr>
              <a:bodyPr/>
              <a:lstStyle/>
              <a:p>
                <a:pPr>
                  <a:defRPr sz="900" b="1" i="0" u="none" strike="noStrike" baseline="0">
                    <a:solidFill>
                      <a:sysClr val="windowText" lastClr="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extLst>
            <c:ext xmlns:c16="http://schemas.microsoft.com/office/drawing/2014/chart" uri="{C3380CC4-5D6E-409C-BE32-E72D297353CC}">
              <c16:uniqueId val="{00000001-7969-4032-BCEA-38D7251D6E21}"/>
            </c:ext>
          </c:extLst>
        </c:ser>
        <c:ser>
          <c:idx val="1"/>
          <c:order val="1"/>
          <c:tx>
            <c:v>Cumulative Monthly Savings</c:v>
          </c:tx>
          <c:spPr>
            <a:gradFill rotWithShape="0">
              <a:gsLst>
                <a:gs pos="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3B00" mc:Ignorable="a14" a14:legacySpreadsheetColorIndex="17">
                    <a:gamma/>
                    <a:shade val="46275"/>
                    <a:invGamma/>
                  </a:srgbClr>
                </a:gs>
              </a:gsLst>
              <a:lin ang="0" scaled="1"/>
            </a:gradFill>
            <a:ln w="12700">
              <a:solidFill>
                <a:srgbClr val="000000"/>
              </a:solidFill>
              <a:prstDash val="solid"/>
            </a:ln>
          </c:spPr>
          <c:dLbls>
            <c:dLbl>
              <c:idx val="0"/>
              <c:delete val="1"/>
              <c:extLst>
                <c:ext xmlns:c15="http://schemas.microsoft.com/office/drawing/2012/chart" uri="{CE6537A1-D6FC-4f65-9D91-7224C49458BB}"/>
                <c:ext xmlns:c16="http://schemas.microsoft.com/office/drawing/2014/chart" uri="{C3380CC4-5D6E-409C-BE32-E72D297353CC}">
                  <c16:uniqueId val="{00000002-7969-4032-BCEA-38D7251D6E21}"/>
                </c:ext>
              </c:extLst>
            </c:dLbl>
            <c:dLbl>
              <c:idx val="1"/>
              <c:delete val="1"/>
              <c:extLst>
                <c:ext xmlns:c15="http://schemas.microsoft.com/office/drawing/2012/chart" uri="{CE6537A1-D6FC-4f65-9D91-7224C49458BB}"/>
                <c:ext xmlns:c16="http://schemas.microsoft.com/office/drawing/2014/chart" uri="{C3380CC4-5D6E-409C-BE32-E72D297353CC}">
                  <c16:uniqueId val="{00000003-7969-4032-BCEA-38D7251D6E21}"/>
                </c:ext>
              </c:extLst>
            </c:dLbl>
            <c:dLbl>
              <c:idx val="2"/>
              <c:delete val="1"/>
              <c:extLst>
                <c:ext xmlns:c15="http://schemas.microsoft.com/office/drawing/2012/chart" uri="{CE6537A1-D6FC-4f65-9D91-7224C49458BB}"/>
                <c:ext xmlns:c16="http://schemas.microsoft.com/office/drawing/2014/chart" uri="{C3380CC4-5D6E-409C-BE32-E72D297353CC}">
                  <c16:uniqueId val="{00000004-7969-4032-BCEA-38D7251D6E21}"/>
                </c:ext>
              </c:extLst>
            </c:dLbl>
            <c:dLbl>
              <c:idx val="3"/>
              <c:delete val="1"/>
              <c:extLst>
                <c:ext xmlns:c15="http://schemas.microsoft.com/office/drawing/2012/chart" uri="{CE6537A1-D6FC-4f65-9D91-7224C49458BB}"/>
                <c:ext xmlns:c16="http://schemas.microsoft.com/office/drawing/2014/chart" uri="{C3380CC4-5D6E-409C-BE32-E72D297353CC}">
                  <c16:uniqueId val="{00000005-7969-4032-BCEA-38D7251D6E21}"/>
                </c:ext>
              </c:extLst>
            </c:dLbl>
            <c:dLbl>
              <c:idx val="4"/>
              <c:layout>
                <c:manualLayout>
                  <c:x val="-5.4260071172915396E-17"/>
                  <c:y val="-2.82762370853724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7969-4032-BCEA-38D7251D6E21}"/>
                </c:ext>
              </c:extLst>
            </c:dLbl>
            <c:dLbl>
              <c:idx val="5"/>
              <c:layout>
                <c:manualLayout>
                  <c:x val="0"/>
                  <c:y val="-5.002718868950516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969-4032-BCEA-38D7251D6E21}"/>
                </c:ext>
              </c:extLst>
            </c:dLbl>
            <c:dLbl>
              <c:idx val="6"/>
              <c:layout>
                <c:manualLayout>
                  <c:x val="0"/>
                  <c:y val="-8.265361609570419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7969-4032-BCEA-38D7251D6E21}"/>
                </c:ext>
              </c:extLst>
            </c:dLbl>
            <c:dLbl>
              <c:idx val="7"/>
              <c:layout>
                <c:manualLayout>
                  <c:x val="0"/>
                  <c:y val="-0.10222947253942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7969-4032-BCEA-38D7251D6E21}"/>
                </c:ext>
              </c:extLst>
            </c:dLbl>
            <c:dLbl>
              <c:idx val="8"/>
              <c:layout>
                <c:manualLayout>
                  <c:x val="1.4798372179060304E-3"/>
                  <c:y val="-0.1283306144643828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7969-4032-BCEA-38D7251D6E21}"/>
                </c:ext>
              </c:extLst>
            </c:dLbl>
            <c:dLbl>
              <c:idx val="9"/>
              <c:layout>
                <c:manualLayout>
                  <c:x val="0"/>
                  <c:y val="-0.152256661228928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7969-4032-BCEA-38D7251D6E21}"/>
                </c:ext>
              </c:extLst>
            </c:dLbl>
            <c:dLbl>
              <c:idx val="10"/>
              <c:layout>
                <c:manualLayout>
                  <c:x val="5.1113810551705451E-3"/>
                  <c:y val="-0.1698050549554062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7969-4032-BCEA-38D7251D6E21}"/>
                </c:ext>
              </c:extLst>
            </c:dLbl>
            <c:dLbl>
              <c:idx val="11"/>
              <c:layout>
                <c:manualLayout>
                  <c:x val="-7.1797740043870765E-3"/>
                  <c:y val="-0.1888397066190543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7969-4032-BCEA-38D7251D6E21}"/>
                </c:ext>
              </c:extLst>
            </c:dLbl>
            <c:numFmt formatCode="\$#,##0_);[Red]\(\$#,##0\)" sourceLinked="0"/>
            <c:spPr>
              <a:solidFill>
                <a:srgbClr val="FFFFFF"/>
              </a:solid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DataSource_1!$M$5:$M$16</c:f>
              <c:numCache>
                <c:formatCode>"$"#,##0</c:formatCode>
                <c:ptCount val="12"/>
                <c:pt idx="0">
                  <c:v>0</c:v>
                </c:pt>
                <c:pt idx="1">
                  <c:v>0</c:v>
                </c:pt>
                <c:pt idx="2">
                  <c:v>28491.019125509898</c:v>
                </c:pt>
                <c:pt idx="3">
                  <c:v>54645.812451936021</c:v>
                </c:pt>
                <c:pt idx="4">
                  <c:v>87094.816420825693</c:v>
                </c:pt>
                <c:pt idx="5">
                  <c:v>120132.74498229832</c:v>
                </c:pt>
                <c:pt idx="6">
                  <c:v>145574.33751414737</c:v>
                </c:pt>
                <c:pt idx="7">
                  <c:v>173836.33666437457</c:v>
                </c:pt>
                <c:pt idx="8">
                  <c:v>199415.5418126318</c:v>
                </c:pt>
                <c:pt idx="9">
                  <c:v>226021.28964540915</c:v>
                </c:pt>
                <c:pt idx="10">
                  <c:v>254181.07994656975</c:v>
                </c:pt>
                <c:pt idx="11">
                  <c:v>280843.16937221808</c:v>
                </c:pt>
              </c:numCache>
            </c:numRef>
          </c:val>
          <c:extLst>
            <c:ext xmlns:c16="http://schemas.microsoft.com/office/drawing/2014/chart" uri="{C3380CC4-5D6E-409C-BE32-E72D297353CC}">
              <c16:uniqueId val="{0000000E-7969-4032-BCEA-38D7251D6E21}"/>
            </c:ext>
          </c:extLst>
        </c:ser>
        <c:dLbls>
          <c:showLegendKey val="0"/>
          <c:showVal val="0"/>
          <c:showCatName val="0"/>
          <c:showSerName val="0"/>
          <c:showPercent val="0"/>
          <c:showBubbleSize val="0"/>
        </c:dLbls>
        <c:dropLines>
          <c:spPr>
            <a:ln w="3175">
              <a:solidFill>
                <a:srgbClr val="000000"/>
              </a:solidFill>
              <a:prstDash val="solid"/>
            </a:ln>
          </c:spPr>
        </c:dropLines>
        <c:axId val="184322688"/>
        <c:axId val="184336768"/>
        <c:axId val="165544384"/>
      </c:area3DChart>
      <c:dateAx>
        <c:axId val="184322688"/>
        <c:scaling>
          <c:orientation val="minMax"/>
        </c:scaling>
        <c:delete val="0"/>
        <c:axPos val="b"/>
        <c:majorGridlines>
          <c:spPr>
            <a:ln w="3175">
              <a:solidFill>
                <a:srgbClr val="000000"/>
              </a:solidFill>
              <a:prstDash val="solid"/>
            </a:ln>
          </c:spPr>
        </c:majorGridlines>
        <c:numFmt formatCode="mmm\-yy" sourceLinked="0"/>
        <c:majorTickMark val="out"/>
        <c:minorTickMark val="none"/>
        <c:tickLblPos val="low"/>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4336768"/>
        <c:crosses val="autoZero"/>
        <c:auto val="1"/>
        <c:lblOffset val="100"/>
        <c:baseTimeUnit val="months"/>
        <c:majorUnit val="1"/>
        <c:majorTimeUnit val="months"/>
        <c:minorUnit val="1"/>
        <c:minorTimeUnit val="months"/>
      </c:dateAx>
      <c:valAx>
        <c:axId val="18433676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4322688"/>
        <c:crosses val="autoZero"/>
        <c:crossBetween val="midCat"/>
      </c:valAx>
      <c:serAx>
        <c:axId val="165544384"/>
        <c:scaling>
          <c:orientation val="minMax"/>
        </c:scaling>
        <c:delete val="0"/>
        <c:axPos val="b"/>
        <c:majorGridlines>
          <c:spPr>
            <a:ln w="3175">
              <a:solidFill>
                <a:srgbClr val="000000"/>
              </a:solidFill>
              <a:prstDash val="solid"/>
            </a:ln>
          </c:spPr>
        </c:majorGridlines>
        <c:majorTickMark val="out"/>
        <c:minorTickMark val="none"/>
        <c:tickLblPos val="none"/>
        <c:spPr>
          <a:ln w="3175">
            <a:solidFill>
              <a:srgbClr val="000000"/>
            </a:solidFill>
            <a:prstDash val="solid"/>
          </a:ln>
        </c:spPr>
        <c:crossAx val="184336768"/>
        <c:crosses val="autoZero"/>
        <c:tickMarkSkip val="1"/>
      </c:serAx>
      <c:dTable>
        <c:showHorzBorder val="1"/>
        <c:showVertBorder val="1"/>
        <c:showOutline val="1"/>
        <c:showKeys val="1"/>
        <c:spPr>
          <a:ln w="3175">
            <a:solidFill>
              <a:srgbClr val="000000"/>
            </a:solidFill>
            <a:prstDash val="solid"/>
          </a:ln>
        </c:spPr>
        <c:txPr>
          <a:bodyPr/>
          <a:lstStyle/>
          <a:p>
            <a:pPr rtl="0">
              <a:defRPr sz="800" b="0" i="0" u="none" strike="noStrike" baseline="0">
                <a:solidFill>
                  <a:srgbClr val="000000"/>
                </a:solidFill>
                <a:latin typeface="Arial"/>
                <a:ea typeface="Arial"/>
                <a:cs typeface="Arial"/>
              </a:defRPr>
            </a:pPr>
            <a:endParaRPr lang="en-US"/>
          </a:p>
        </c:txPr>
      </c:dTable>
      <c:spPr>
        <a:noFill/>
        <a:ln w="25400">
          <a:noFill/>
        </a:ln>
      </c:spPr>
    </c:plotArea>
    <c:legend>
      <c:legendPos val="t"/>
      <c:layout>
        <c:manualLayout>
          <c:xMode val="edge"/>
          <c:yMode val="edge"/>
          <c:x val="0.29605405745813157"/>
          <c:y val="0.19996885225718974"/>
          <c:w val="0.45240687084182496"/>
          <c:h val="3.7209533132424095E-2"/>
        </c:manualLayout>
      </c:layout>
      <c:overlay val="0"/>
    </c:legend>
    <c:plotVisOnly val="1"/>
    <c:dispBlanksAs val="zero"/>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Monthly Minutes and Avg Cost Per Phone</a:t>
            </a:r>
          </a:p>
        </c:rich>
      </c:tx>
      <c:layout>
        <c:manualLayout>
          <c:xMode val="edge"/>
          <c:yMode val="edge"/>
          <c:x val="0.24050551864592767"/>
          <c:y val="8.1566048067457694E-2"/>
        </c:manualLayout>
      </c:layout>
      <c:overlay val="0"/>
      <c:spPr>
        <a:noFill/>
        <a:ln w="25400">
          <a:noFill/>
        </a:ln>
      </c:spPr>
    </c:title>
    <c:autoTitleDeleted val="0"/>
    <c:plotArea>
      <c:layout>
        <c:manualLayout>
          <c:layoutTarget val="inner"/>
          <c:xMode val="edge"/>
          <c:yMode val="edge"/>
          <c:x val="0.20421753607103219"/>
          <c:y val="0.2365415986949429"/>
          <c:w val="0.67702552719200892"/>
          <c:h val="0.53507340946166393"/>
        </c:manualLayout>
      </c:layout>
      <c:lineChart>
        <c:grouping val="stacked"/>
        <c:varyColors val="0"/>
        <c:ser>
          <c:idx val="0"/>
          <c:order val="0"/>
          <c:tx>
            <c:v>Monthly Minutes of Use</c:v>
          </c:tx>
          <c:spPr>
            <a:ln w="38100">
              <a:solidFill>
                <a:srgbClr val="000080"/>
              </a:solidFill>
              <a:prstDash val="solid"/>
            </a:ln>
          </c:spPr>
          <c:marker>
            <c:symbol val="square"/>
            <c:size val="9"/>
            <c:spPr>
              <a:solidFill>
                <a:srgbClr val="000080"/>
              </a:solidFill>
              <a:ln>
                <a:solidFill>
                  <a:srgbClr val="000080"/>
                </a:solidFill>
                <a:prstDash val="solid"/>
              </a:ln>
              <a:effectLst>
                <a:outerShdw dist="35921" dir="2700000" algn="br">
                  <a:srgbClr val="000000"/>
                </a:outerShdw>
              </a:effectLst>
            </c:spPr>
          </c:marker>
          <c:dLbls>
            <c:dLbl>
              <c:idx val="3"/>
              <c:layout>
                <c:manualLayout>
                  <c:x val="-3.6747275611460503E-2"/>
                  <c:y val="2.7972699192305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74D5-45B9-A549-0BE2431931EC}"/>
                </c:ext>
              </c:extLst>
            </c:dLbl>
            <c:dLbl>
              <c:idx val="4"/>
              <c:layout>
                <c:manualLayout>
                  <c:x val="-4.4166459377398513E-2"/>
                  <c:y val="-3.526717774835478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4D5-45B9-A549-0BE2431931EC}"/>
                </c:ext>
              </c:extLst>
            </c:dLbl>
            <c:dLbl>
              <c:idx val="5"/>
              <c:layout>
                <c:manualLayout>
                  <c:x val="-3.3779602105085321E-2"/>
                  <c:y val="-2.872512151311407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4D5-45B9-A549-0BE2431931EC}"/>
                </c:ext>
              </c:extLst>
            </c:dLbl>
            <c:dLbl>
              <c:idx val="9"/>
              <c:layout>
                <c:manualLayout>
                  <c:x val="-3.0260104899079824E-2"/>
                  <c:y val="2.9177055686635162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D4E-4EF0-BB28-451225BD765B}"/>
                </c:ext>
              </c:extLst>
            </c:dLbl>
            <c:numFmt formatCode="#,##0" sourceLinked="0"/>
            <c:spPr>
              <a:solidFill>
                <a:schemeClr val="accent1">
                  <a:lumMod val="20000"/>
                  <a:lumOff val="80000"/>
                </a:schemeClr>
              </a:solidFill>
              <a:ln w="25400">
                <a:noFill/>
              </a:ln>
            </c:spPr>
            <c:txPr>
              <a:bodyPr/>
              <a:lstStyle/>
              <a:p>
                <a:pPr>
                  <a:defRPr sz="9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DataSource_1!$G$5:$G$16</c:f>
              <c:numCache>
                <c:formatCode>#,##0</c:formatCode>
                <c:ptCount val="12"/>
                <c:pt idx="0">
                  <c:v>175781.09999999998</c:v>
                </c:pt>
                <c:pt idx="1">
                  <c:v>193710.6</c:v>
                </c:pt>
                <c:pt idx="2">
                  <c:v>213493.3</c:v>
                </c:pt>
                <c:pt idx="3">
                  <c:v>215067.40000000002</c:v>
                </c:pt>
                <c:pt idx="4">
                  <c:v>241373.4</c:v>
                </c:pt>
                <c:pt idx="5">
                  <c:v>240571</c:v>
                </c:pt>
                <c:pt idx="6">
                  <c:v>202948.2</c:v>
                </c:pt>
                <c:pt idx="7">
                  <c:v>216164.60000000003</c:v>
                </c:pt>
                <c:pt idx="8">
                  <c:v>204332.3</c:v>
                </c:pt>
                <c:pt idx="9">
                  <c:v>210447.8</c:v>
                </c:pt>
                <c:pt idx="10">
                  <c:v>217479</c:v>
                </c:pt>
                <c:pt idx="11">
                  <c:v>204421.1</c:v>
                </c:pt>
              </c:numCache>
            </c:numRef>
          </c:val>
          <c:smooth val="0"/>
          <c:extLst>
            <c:ext xmlns:c16="http://schemas.microsoft.com/office/drawing/2014/chart" uri="{C3380CC4-5D6E-409C-BE32-E72D297353CC}">
              <c16:uniqueId val="{00000001-0D4E-4EF0-BB28-451225BD765B}"/>
            </c:ext>
          </c:extLst>
        </c:ser>
        <c:dLbls>
          <c:showLegendKey val="0"/>
          <c:showVal val="0"/>
          <c:showCatName val="0"/>
          <c:showSerName val="0"/>
          <c:showPercent val="0"/>
          <c:showBubbleSize val="0"/>
        </c:dLbls>
        <c:marker val="1"/>
        <c:smooth val="0"/>
        <c:axId val="183961088"/>
        <c:axId val="183962624"/>
      </c:lineChart>
      <c:lineChart>
        <c:grouping val="standard"/>
        <c:varyColors val="0"/>
        <c:ser>
          <c:idx val="1"/>
          <c:order val="1"/>
          <c:tx>
            <c:v>Average Cost/ Phone</c:v>
          </c:tx>
          <c:spPr>
            <a:ln w="38100">
              <a:solidFill>
                <a:srgbClr val="008000"/>
              </a:solidFill>
              <a:prstDash val="solid"/>
            </a:ln>
          </c:spPr>
          <c:marker>
            <c:symbol val="square"/>
            <c:size val="9"/>
            <c:spPr>
              <a:solidFill>
                <a:srgbClr val="008000"/>
              </a:solidFill>
              <a:ln>
                <a:solidFill>
                  <a:srgbClr val="008000"/>
                </a:solidFill>
                <a:prstDash val="solid"/>
              </a:ln>
              <a:effectLst>
                <a:outerShdw dist="35921" dir="2700000" algn="br">
                  <a:srgbClr val="000000"/>
                </a:outerShdw>
              </a:effectLst>
            </c:spPr>
          </c:marker>
          <c:dLbls>
            <c:numFmt formatCode="\$#,##0" sourceLinked="0"/>
            <c:spPr>
              <a:solidFill>
                <a:schemeClr val="accent6">
                  <a:lumMod val="20000"/>
                  <a:lumOff val="80000"/>
                </a:schemeClr>
              </a:solidFill>
              <a:ln w="25400">
                <a:noFill/>
              </a:ln>
            </c:spPr>
            <c:txPr>
              <a:bodyPr/>
              <a:lstStyle/>
              <a:p>
                <a:pPr>
                  <a:defRPr sz="9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DataSource_1!$I$5:$I$16</c:f>
              <c:numCache>
                <c:formatCode>"$"#,##0.00</c:formatCode>
                <c:ptCount val="12"/>
                <c:pt idx="0">
                  <c:v>109.91374133949192</c:v>
                </c:pt>
                <c:pt idx="1">
                  <c:v>122.52715231788079</c:v>
                </c:pt>
                <c:pt idx="2">
                  <c:v>71.048282608695658</c:v>
                </c:pt>
                <c:pt idx="3">
                  <c:v>74.048997912317333</c:v>
                </c:pt>
                <c:pt idx="4">
                  <c:v>76.485083333333321</c:v>
                </c:pt>
                <c:pt idx="5">
                  <c:v>75.092050209204999</c:v>
                </c:pt>
                <c:pt idx="6">
                  <c:v>66.891820040899788</c:v>
                </c:pt>
                <c:pt idx="7">
                  <c:v>68.86840490797546</c:v>
                </c:pt>
                <c:pt idx="8">
                  <c:v>67.146802443991859</c:v>
                </c:pt>
                <c:pt idx="9">
                  <c:v>70.787478991596629</c:v>
                </c:pt>
                <c:pt idx="10">
                  <c:v>70.569173553719011</c:v>
                </c:pt>
                <c:pt idx="11">
                  <c:v>66.621377870563677</c:v>
                </c:pt>
              </c:numCache>
            </c:numRef>
          </c:val>
          <c:smooth val="0"/>
          <c:extLst>
            <c:ext xmlns:c16="http://schemas.microsoft.com/office/drawing/2014/chart" uri="{C3380CC4-5D6E-409C-BE32-E72D297353CC}">
              <c16:uniqueId val="{00000002-0D4E-4EF0-BB28-451225BD765B}"/>
            </c:ext>
          </c:extLst>
        </c:ser>
        <c:dLbls>
          <c:showLegendKey val="0"/>
          <c:showVal val="0"/>
          <c:showCatName val="0"/>
          <c:showSerName val="0"/>
          <c:showPercent val="0"/>
          <c:showBubbleSize val="0"/>
        </c:dLbls>
        <c:hiLowLines>
          <c:spPr>
            <a:ln w="3175">
              <a:solidFill>
                <a:srgbClr val="000000"/>
              </a:solidFill>
              <a:prstDash val="solid"/>
            </a:ln>
          </c:spPr>
        </c:hiLowLines>
        <c:marker val="1"/>
        <c:smooth val="0"/>
        <c:axId val="183972608"/>
        <c:axId val="183974144"/>
      </c:lineChart>
      <c:dateAx>
        <c:axId val="183961088"/>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83962624"/>
        <c:crosses val="autoZero"/>
        <c:auto val="1"/>
        <c:lblOffset val="100"/>
        <c:baseTimeUnit val="months"/>
        <c:majorUnit val="1"/>
        <c:majorTimeUnit val="months"/>
        <c:minorUnit val="1"/>
        <c:minorTimeUnit val="months"/>
      </c:dateAx>
      <c:valAx>
        <c:axId val="183962624"/>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961088"/>
        <c:crosses val="autoZero"/>
        <c:crossBetween val="between"/>
      </c:valAx>
      <c:dateAx>
        <c:axId val="183972608"/>
        <c:scaling>
          <c:orientation val="minMax"/>
        </c:scaling>
        <c:delete val="1"/>
        <c:axPos val="b"/>
        <c:numFmt formatCode="mmm\ yyyy" sourceLinked="1"/>
        <c:majorTickMark val="out"/>
        <c:minorTickMark val="none"/>
        <c:tickLblPos val="nextTo"/>
        <c:crossAx val="183974144"/>
        <c:crosses val="autoZero"/>
        <c:auto val="1"/>
        <c:lblOffset val="100"/>
        <c:baseTimeUnit val="months"/>
      </c:dateAx>
      <c:valAx>
        <c:axId val="183974144"/>
        <c:scaling>
          <c:orientation val="minMax"/>
        </c:scaling>
        <c:delete val="0"/>
        <c:axPos val="r"/>
        <c:numFmt formatCode="&quot;$&quot;#,##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3972608"/>
        <c:crosses val="max"/>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plotArea>
    <c:legend>
      <c:legendPos val="t"/>
      <c:layout>
        <c:manualLayout>
          <c:xMode val="edge"/>
          <c:yMode val="edge"/>
          <c:x val="0.31165537412373306"/>
          <c:y val="0.18906542519845526"/>
          <c:w val="0.41230133382903611"/>
          <c:h val="3.5277308491606166E-2"/>
        </c:manualLayout>
      </c:layout>
      <c:overlay val="0"/>
      <c:spPr>
        <a:solidFill>
          <a:srgbClr val="FFFFFF"/>
        </a:solidFill>
        <a:ln w="3175">
          <a:solidFill>
            <a:srgbClr val="000000"/>
          </a:solidFill>
          <a:prstDash val="solid"/>
        </a:ln>
      </c:spPr>
      <c:txPr>
        <a:bodyPr/>
        <a:lstStyle/>
        <a:p>
          <a:pPr>
            <a:defRPr sz="920"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Usage Cost-Per-Minute &amp;</a:t>
            </a:r>
            <a:r>
              <a:rPr lang="en-US" baseline="0"/>
              <a:t> Total </a:t>
            </a:r>
            <a:r>
              <a:rPr lang="en-US"/>
              <a:t>Usage Cost</a:t>
            </a:r>
          </a:p>
        </c:rich>
      </c:tx>
      <c:layout>
        <c:manualLayout>
          <c:xMode val="edge"/>
          <c:yMode val="edge"/>
          <c:x val="0.23663398993304391"/>
          <c:y val="9.0288789714445261E-2"/>
        </c:manualLayout>
      </c:layout>
      <c:overlay val="0"/>
      <c:spPr>
        <a:noFill/>
        <a:ln w="25400">
          <a:noFill/>
        </a:ln>
      </c:spPr>
    </c:title>
    <c:autoTitleDeleted val="0"/>
    <c:plotArea>
      <c:layout>
        <c:manualLayout>
          <c:layoutTarget val="inner"/>
          <c:xMode val="edge"/>
          <c:yMode val="edge"/>
          <c:x val="0.17536071032186459"/>
          <c:y val="0.27406199021207178"/>
          <c:w val="0.76914539400665927"/>
          <c:h val="0.55954323001631323"/>
        </c:manualLayout>
      </c:layout>
      <c:barChart>
        <c:barDir val="col"/>
        <c:grouping val="clustered"/>
        <c:varyColors val="0"/>
        <c:ser>
          <c:idx val="0"/>
          <c:order val="0"/>
          <c:tx>
            <c:v>Usage Cost</c:v>
          </c:tx>
          <c:invertIfNegative val="0"/>
          <c:dLbls>
            <c:spPr>
              <a:solidFill>
                <a:schemeClr val="accent1">
                  <a:lumMod val="20000"/>
                  <a:lumOff val="80000"/>
                </a:schemeClr>
              </a:solidFill>
              <a:ln>
                <a:noFill/>
              </a:ln>
              <a:effectLst/>
            </c:spPr>
            <c:txPr>
              <a:bodyPr wrap="square" lIns="38100" tIns="19050" rIns="38100" bIns="19050" anchor="ctr">
                <a:spAutoFit/>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DataSource_1!$AD$5:$AD$16</c:f>
              <c:numCache>
                <c:formatCode>"$"#,##0</c:formatCode>
                <c:ptCount val="12"/>
                <c:pt idx="0">
                  <c:v>24526.84</c:v>
                </c:pt>
                <c:pt idx="1">
                  <c:v>31104.01</c:v>
                </c:pt>
                <c:pt idx="2">
                  <c:v>8027.5400000000045</c:v>
                </c:pt>
                <c:pt idx="3">
                  <c:v>9784.0700000000033</c:v>
                </c:pt>
                <c:pt idx="4">
                  <c:v>11070.209999999995</c:v>
                </c:pt>
                <c:pt idx="5">
                  <c:v>10359.729999999992</c:v>
                </c:pt>
                <c:pt idx="6">
                  <c:v>6787.8899999999994</c:v>
                </c:pt>
                <c:pt idx="7">
                  <c:v>8135.8299999999981</c:v>
                </c:pt>
                <c:pt idx="8">
                  <c:v>7432.6800000000039</c:v>
                </c:pt>
                <c:pt idx="9">
                  <c:v>8645.489999999998</c:v>
                </c:pt>
                <c:pt idx="10">
                  <c:v>8845.5400000000009</c:v>
                </c:pt>
                <c:pt idx="11">
                  <c:v>6786.7200000000012</c:v>
                </c:pt>
              </c:numCache>
            </c:numRef>
          </c:val>
          <c:extLst>
            <c:ext xmlns:c16="http://schemas.microsoft.com/office/drawing/2014/chart" uri="{C3380CC4-5D6E-409C-BE32-E72D297353CC}">
              <c16:uniqueId val="{0000000C-F08C-4BD8-BBBE-5CD8A65E0BE7}"/>
            </c:ext>
          </c:extLst>
        </c:ser>
        <c:dLbls>
          <c:showLegendKey val="0"/>
          <c:showVal val="0"/>
          <c:showCatName val="0"/>
          <c:showSerName val="0"/>
          <c:showPercent val="0"/>
          <c:showBubbleSize val="0"/>
        </c:dLbls>
        <c:gapWidth val="150"/>
        <c:axId val="184264192"/>
        <c:axId val="184265728"/>
      </c:barChart>
      <c:lineChart>
        <c:grouping val="standard"/>
        <c:varyColors val="0"/>
        <c:ser>
          <c:idx val="1"/>
          <c:order val="1"/>
          <c:tx>
            <c:v>Usage Cost Per Min</c:v>
          </c:tx>
          <c:spPr>
            <a:ln w="25400">
              <a:solidFill>
                <a:srgbClr val="003300"/>
              </a:solidFill>
              <a:prstDash val="solid"/>
            </a:ln>
          </c:spPr>
          <c:marker>
            <c:symbol val="square"/>
            <c:size val="5"/>
            <c:spPr>
              <a:solidFill>
                <a:srgbClr val="008000"/>
              </a:solidFill>
              <a:ln>
                <a:solidFill>
                  <a:srgbClr val="008000"/>
                </a:solidFill>
                <a:prstDash val="solid"/>
              </a:ln>
            </c:spPr>
          </c:marker>
          <c:dLbls>
            <c:dLbl>
              <c:idx val="0"/>
              <c:layout>
                <c:manualLayout>
                  <c:x val="-3.1160571816939438E-2"/>
                  <c:y val="-2.18068541174689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44C-4834-B28F-73B19A0DE189}"/>
                </c:ext>
              </c:extLst>
            </c:dLbl>
            <c:dLbl>
              <c:idx val="2"/>
              <c:layout>
                <c:manualLayout>
                  <c:x val="-2.5225224804189046E-2"/>
                  <c:y val="2.180685411746880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44C-4834-B28F-73B19A0DE189}"/>
                </c:ext>
              </c:extLst>
            </c:dLbl>
            <c:dLbl>
              <c:idx val="3"/>
              <c:layout>
                <c:manualLayout>
                  <c:x val="-3.2644408570127056E-2"/>
                  <c:y val="-2.398753952921585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44C-4834-B28F-73B19A0DE189}"/>
                </c:ext>
              </c:extLst>
            </c:dLbl>
            <c:dLbl>
              <c:idx val="4"/>
              <c:layout>
                <c:manualLayout>
                  <c:x val="-3.1160571816939465E-2"/>
                  <c:y val="-3.052959576445652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44C-4834-B28F-73B19A0DE189}"/>
                </c:ext>
              </c:extLst>
            </c:dLbl>
            <c:dLbl>
              <c:idx val="5"/>
              <c:layout>
                <c:manualLayout>
                  <c:x val="-3.2644408570127001E-2"/>
                  <c:y val="-3.92523374114439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D44C-4834-B28F-73B19A0DE189}"/>
                </c:ext>
              </c:extLst>
            </c:dLbl>
            <c:dLbl>
              <c:idx val="6"/>
              <c:layout>
                <c:manualLayout>
                  <c:x val="-2.9676735063751819E-2"/>
                  <c:y val="-2.39875395292157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D44C-4834-B28F-73B19A0DE189}"/>
                </c:ext>
              </c:extLst>
            </c:dLbl>
            <c:dLbl>
              <c:idx val="7"/>
              <c:layout>
                <c:manualLayout>
                  <c:x val="-3.116057181693941E-2"/>
                  <c:y val="-2.834891035270955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D44C-4834-B28F-73B19A0DE189}"/>
                </c:ext>
              </c:extLst>
            </c:dLbl>
            <c:dLbl>
              <c:idx val="8"/>
              <c:layout>
                <c:manualLayout>
                  <c:x val="-2.9676735063751819E-2"/>
                  <c:y val="-3.271028117620341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D44C-4834-B28F-73B19A0DE189}"/>
                </c:ext>
              </c:extLst>
            </c:dLbl>
            <c:dLbl>
              <c:idx val="9"/>
              <c:layout>
                <c:manualLayout>
                  <c:x val="-2.8192898310564336E-2"/>
                  <c:y val="-2.6168224940962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D44C-4834-B28F-73B19A0DE189}"/>
                </c:ext>
              </c:extLst>
            </c:dLbl>
            <c:dLbl>
              <c:idx val="10"/>
              <c:layout>
                <c:manualLayout>
                  <c:x val="-2.8192898310564121E-2"/>
                  <c:y val="-2.39875395292157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D44C-4834-B28F-73B19A0DE189}"/>
                </c:ext>
              </c:extLst>
            </c:dLbl>
            <c:dLbl>
              <c:idx val="11"/>
              <c:layout>
                <c:manualLayout>
                  <c:x val="-3.116057181693941E-2"/>
                  <c:y val="-2.616822494096266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D44C-4834-B28F-73B19A0DE189}"/>
                </c:ext>
              </c:extLst>
            </c:dLbl>
            <c:spPr>
              <a:solidFill>
                <a:schemeClr val="bg1"/>
              </a:solidFill>
              <a:ln w="25400">
                <a:noFill/>
              </a:ln>
            </c:spPr>
            <c:txPr>
              <a:bodyPr/>
              <a:lstStyle/>
              <a:p>
                <a:pPr>
                  <a:defRPr sz="900"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DataSource_1!$AF$5:$AF$16</c:f>
              <c:numCache>
                <c:formatCode>"$"#,##0.00</c:formatCode>
                <c:ptCount val="12"/>
                <c:pt idx="0">
                  <c:v>0.27074952881737574</c:v>
                </c:pt>
                <c:pt idx="1">
                  <c:v>0.28653465530538852</c:v>
                </c:pt>
                <c:pt idx="2">
                  <c:v>0.15308307099098661</c:v>
                </c:pt>
                <c:pt idx="3">
                  <c:v>0.16492257775934427</c:v>
                </c:pt>
                <c:pt idx="4">
                  <c:v>0.15209977570022212</c:v>
                </c:pt>
                <c:pt idx="5">
                  <c:v>0.1492033536876847</c:v>
                </c:pt>
                <c:pt idx="6">
                  <c:v>0.16117462485501224</c:v>
                </c:pt>
                <c:pt idx="7">
                  <c:v>0.15579169762301504</c:v>
                </c:pt>
                <c:pt idx="8">
                  <c:v>0.16135031025442381</c:v>
                </c:pt>
                <c:pt idx="9">
                  <c:v>0.16011020310024623</c:v>
                </c:pt>
                <c:pt idx="10">
                  <c:v>0.15705185328238591</c:v>
                </c:pt>
                <c:pt idx="11">
                  <c:v>0.15610736856420399</c:v>
                </c:pt>
              </c:numCache>
            </c:numRef>
          </c:val>
          <c:smooth val="0"/>
          <c:extLst>
            <c:ext xmlns:c16="http://schemas.microsoft.com/office/drawing/2014/chart" uri="{C3380CC4-5D6E-409C-BE32-E72D297353CC}">
              <c16:uniqueId val="{0000000D-F08C-4BD8-BBBE-5CD8A65E0BE7}"/>
            </c:ext>
          </c:extLst>
        </c:ser>
        <c:dLbls>
          <c:showLegendKey val="0"/>
          <c:showVal val="0"/>
          <c:showCatName val="0"/>
          <c:showSerName val="0"/>
          <c:showPercent val="0"/>
          <c:showBubbleSize val="0"/>
        </c:dLbls>
        <c:marker val="1"/>
        <c:smooth val="0"/>
        <c:axId val="184275712"/>
        <c:axId val="184277632"/>
      </c:lineChart>
      <c:dateAx>
        <c:axId val="184264192"/>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84265728"/>
        <c:crosses val="autoZero"/>
        <c:auto val="1"/>
        <c:lblOffset val="100"/>
        <c:baseTimeUnit val="months"/>
        <c:majorUnit val="1"/>
        <c:majorTimeUnit val="months"/>
        <c:minorUnit val="1"/>
        <c:minorTimeUnit val="months"/>
      </c:dateAx>
      <c:valAx>
        <c:axId val="184265728"/>
        <c:scaling>
          <c:orientation val="minMax"/>
        </c:scaling>
        <c:delete val="0"/>
        <c:axPos val="l"/>
        <c:numFmt formatCode="\$#.0," sourceLinked="0"/>
        <c:majorTickMark val="out"/>
        <c:minorTickMark val="none"/>
        <c:tickLblPos val="nextTo"/>
        <c:spPr>
          <a:ln w="3175">
            <a:solidFill>
              <a:srgbClr val="003366"/>
            </a:solidFill>
            <a:prstDash val="solid"/>
          </a:ln>
        </c:spPr>
        <c:txPr>
          <a:bodyPr rot="0" vert="horz"/>
          <a:lstStyle/>
          <a:p>
            <a:pPr>
              <a:defRPr sz="1000" b="1" i="0" u="none" strike="noStrike" baseline="0">
                <a:solidFill>
                  <a:srgbClr val="000000"/>
                </a:solidFill>
                <a:latin typeface="Arial"/>
                <a:ea typeface="Arial"/>
                <a:cs typeface="Arial"/>
              </a:defRPr>
            </a:pPr>
            <a:endParaRPr lang="en-US"/>
          </a:p>
        </c:txPr>
        <c:crossAx val="184264192"/>
        <c:crosses val="autoZero"/>
        <c:crossBetween val="between"/>
      </c:valAx>
      <c:dateAx>
        <c:axId val="184275712"/>
        <c:scaling>
          <c:orientation val="minMax"/>
        </c:scaling>
        <c:delete val="1"/>
        <c:axPos val="t"/>
        <c:numFmt formatCode="mmm\ yyyy" sourceLinked="1"/>
        <c:majorTickMark val="cross"/>
        <c:minorTickMark val="none"/>
        <c:tickLblPos val="nextTo"/>
        <c:crossAx val="184277632"/>
        <c:crosses val="max"/>
        <c:auto val="1"/>
        <c:lblOffset val="100"/>
        <c:baseTimeUnit val="months"/>
        <c:majorUnit val="1"/>
        <c:minorUnit val="1"/>
      </c:dateAx>
      <c:valAx>
        <c:axId val="184277632"/>
        <c:scaling>
          <c:orientation val="minMax"/>
        </c:scaling>
        <c:delete val="0"/>
        <c:axPos val="r"/>
        <c:numFmt formatCode="&quot;$&quot;#,##0.00" sourceLinked="1"/>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4275712"/>
        <c:crosses val="max"/>
        <c:crossBetween val="between"/>
      </c:valAx>
      <c:dTable>
        <c:showHorzBorder val="1"/>
        <c:showVertBorder val="1"/>
        <c:showOutline val="1"/>
        <c:showKeys val="0"/>
        <c:spPr>
          <a:ln w="3175">
            <a:solidFill>
              <a:srgbClr val="000000"/>
            </a:solidFill>
            <a:prstDash val="solid"/>
          </a:ln>
        </c:spPr>
        <c:txPr>
          <a:bodyPr/>
          <a:lstStyle/>
          <a:p>
            <a:pPr rtl="0">
              <a:defRPr sz="900" b="1"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plotArea>
    <c:legend>
      <c:legendPos val="t"/>
      <c:layout>
        <c:manualLayout>
          <c:xMode val="edge"/>
          <c:yMode val="edge"/>
          <c:x val="0.34148761995272053"/>
          <c:y val="0.19996885225718974"/>
          <c:w val="0.33779835780164563"/>
          <c:h val="3.7209533132424095E-2"/>
        </c:manualLayout>
      </c:layout>
      <c:overlay val="0"/>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Usage Overview</a:t>
            </a:r>
          </a:p>
        </c:rich>
      </c:tx>
      <c:layout>
        <c:manualLayout>
          <c:xMode val="edge"/>
          <c:yMode val="edge"/>
          <c:x val="0.39327071853801654"/>
          <c:y val="6.9563864634725747E-2"/>
        </c:manualLayout>
      </c:layout>
      <c:overlay val="0"/>
      <c:spPr>
        <a:noFill/>
        <a:ln w="25400">
          <a:noFill/>
        </a:ln>
      </c:spPr>
    </c:title>
    <c:autoTitleDeleted val="0"/>
    <c:view3D>
      <c:rotX val="15"/>
      <c:hPercent val="57"/>
      <c:rotY val="20"/>
      <c:depthPercent val="100"/>
      <c:rAngAx val="1"/>
    </c:view3D>
    <c:floor>
      <c:thickness val="0"/>
      <c:spPr>
        <a:solidFill>
          <a:srgbClr val="C0C0C0"/>
        </a:solidFill>
        <a:ln w="3175">
          <a:solidFill>
            <a:srgbClr val="000000"/>
          </a:solidFill>
          <a:prstDash val="solid"/>
        </a:ln>
      </c:spPr>
    </c:floor>
    <c:side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sideWall>
    <c:back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backWall>
    <c:plotArea>
      <c:layout>
        <c:manualLayout>
          <c:layoutTarget val="inner"/>
          <c:xMode val="edge"/>
          <c:yMode val="edge"/>
          <c:x val="0.11875693673695893"/>
          <c:y val="0.20065252854812399"/>
          <c:w val="0.87569367369589346"/>
          <c:h val="0.53996737357259383"/>
        </c:manualLayout>
      </c:layout>
      <c:bar3DChart>
        <c:barDir val="col"/>
        <c:grouping val="stacked"/>
        <c:varyColors val="0"/>
        <c:ser>
          <c:idx val="0"/>
          <c:order val="0"/>
          <c:tx>
            <c:v>Plan Charge</c:v>
          </c:tx>
          <c:spPr>
            <a:gradFill rotWithShape="0">
              <a:gsLst>
                <a:gs pos="0">
                  <a:srgbClr xmlns:mc="http://schemas.openxmlformats.org/markup-compatibility/2006" xmlns:a14="http://schemas.microsoft.com/office/drawing/2010/main" val="003B00" mc:Ignorable="a14" a14:legacySpreadsheetColorIndex="17">
                    <a:gamma/>
                    <a:shade val="46275"/>
                    <a:invGamma/>
                  </a:srgbClr>
                </a:gs>
                <a:gs pos="100000">
                  <a:srgbClr xmlns:mc="http://schemas.openxmlformats.org/markup-compatibility/2006" xmlns:a14="http://schemas.microsoft.com/office/drawing/2010/main" val="008000" mc:Ignorable="a14" a14:legacySpreadsheetColorIndex="17"/>
                </a:gs>
              </a:gsLst>
              <a:lin ang="0" scaled="1"/>
            </a:gradFill>
            <a:ln w="12700">
              <a:solidFill>
                <a:srgbClr val="000000"/>
              </a:solidFill>
              <a:prstDash val="solid"/>
            </a:ln>
          </c:spPr>
          <c:invertIfNegative val="0"/>
          <c:dLbls>
            <c:dLbl>
              <c:idx val="0"/>
              <c:layout>
                <c:manualLayout>
                  <c:x val="2.9676735063751277E-3"/>
                  <c:y val="-3.92523374114439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B7A9-4069-BFAF-D8D6B714F14F}"/>
                </c:ext>
              </c:extLst>
            </c:dLbl>
            <c:dLbl>
              <c:idx val="2"/>
              <c:layout>
                <c:manualLayout>
                  <c:x val="-1.483836753187591E-3"/>
                  <c:y val="-4.361370823493777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7A9-4069-BFAF-D8D6B714F14F}"/>
                </c:ext>
              </c:extLst>
            </c:dLbl>
            <c:dLbl>
              <c:idx val="4"/>
              <c:layout>
                <c:manualLayout>
                  <c:x val="4.4515102595627182E-3"/>
                  <c:y val="-3.4890966587950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7A9-4069-BFAF-D8D6B714F14F}"/>
                </c:ext>
              </c:extLst>
            </c:dLbl>
            <c:dLbl>
              <c:idx val="6"/>
              <c:layout>
                <c:manualLayout>
                  <c:x val="2.9676735063751819E-3"/>
                  <c:y val="-3.7071651999697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7A9-4069-BFAF-D8D6B714F14F}"/>
                </c:ext>
              </c:extLst>
            </c:dLbl>
            <c:dLbl>
              <c:idx val="8"/>
              <c:layout>
                <c:manualLayout>
                  <c:x val="0"/>
                  <c:y val="-3.4890966587950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7A9-4069-BFAF-D8D6B714F14F}"/>
                </c:ext>
              </c:extLst>
            </c:dLbl>
            <c:dLbl>
              <c:idx val="10"/>
              <c:layout>
                <c:manualLayout>
                  <c:x val="0"/>
                  <c:y val="-3.4890966587950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7A9-4069-BFAF-D8D6B714F14F}"/>
                </c:ext>
              </c:extLst>
            </c:dLbl>
            <c:spPr>
              <a:solidFill>
                <a:schemeClr val="accent6"/>
              </a:solidFill>
              <a:ln>
                <a:noFill/>
              </a:ln>
              <a:effectLst/>
            </c:spPr>
            <c:txPr>
              <a:bodyPr wrap="square" lIns="38100" tIns="19050" rIns="38100" bIns="19050" anchor="ctr">
                <a:spAutoFit/>
              </a:bodyPr>
              <a:lstStyle/>
              <a:p>
                <a:pPr>
                  <a:defRPr sz="90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DataSource_1!$U$5:$U$16</c:f>
              <c:numCache>
                <c:formatCode>"$"#,##0</c:formatCode>
                <c:ptCount val="12"/>
                <c:pt idx="0">
                  <c:v>23065.81</c:v>
                </c:pt>
                <c:pt idx="1">
                  <c:v>24400.789999999997</c:v>
                </c:pt>
                <c:pt idx="2">
                  <c:v>24654.67</c:v>
                </c:pt>
                <c:pt idx="3">
                  <c:v>25685.399999999998</c:v>
                </c:pt>
                <c:pt idx="4">
                  <c:v>25642.63</c:v>
                </c:pt>
                <c:pt idx="5">
                  <c:v>25534.27</c:v>
                </c:pt>
                <c:pt idx="6">
                  <c:v>25922.21</c:v>
                </c:pt>
                <c:pt idx="7">
                  <c:v>25540.820000000003</c:v>
                </c:pt>
                <c:pt idx="8">
                  <c:v>25536.399999999998</c:v>
                </c:pt>
                <c:pt idx="9">
                  <c:v>25049.35</c:v>
                </c:pt>
                <c:pt idx="10">
                  <c:v>25309.940000000002</c:v>
                </c:pt>
                <c:pt idx="11">
                  <c:v>25124.920000000002</c:v>
                </c:pt>
              </c:numCache>
            </c:numRef>
          </c:val>
          <c:extLst>
            <c:ext xmlns:c16="http://schemas.microsoft.com/office/drawing/2014/chart" uri="{C3380CC4-5D6E-409C-BE32-E72D297353CC}">
              <c16:uniqueId val="{00000000-6167-472D-B1E7-A0857989F680}"/>
            </c:ext>
          </c:extLst>
        </c:ser>
        <c:ser>
          <c:idx val="2"/>
          <c:order val="1"/>
          <c:tx>
            <c:v>Overage Cost</c:v>
          </c:tx>
          <c:spPr>
            <a:gradFill rotWithShape="0">
              <a:gsLst>
                <a:gs pos="0">
                  <a:srgbClr xmlns:mc="http://schemas.openxmlformats.org/markup-compatibility/2006" xmlns:a14="http://schemas.microsoft.com/office/drawing/2010/main" val="FF0000" mc:Ignorable="a14" a14:legacySpreadsheetColorIndex="10"/>
                </a:gs>
                <a:gs pos="100000">
                  <a:srgbClr xmlns:mc="http://schemas.openxmlformats.org/markup-compatibility/2006" xmlns:a14="http://schemas.microsoft.com/office/drawing/2010/main" val="760000" mc:Ignorable="a14" a14:legacySpreadsheetColorIndex="10">
                    <a:gamma/>
                    <a:shade val="46275"/>
                    <a:invGamma/>
                  </a:srgbClr>
                </a:gs>
              </a:gsLst>
              <a:lin ang="0" scaled="1"/>
            </a:gradFill>
            <a:ln w="12700">
              <a:solidFill>
                <a:srgbClr val="000000"/>
              </a:solidFill>
              <a:prstDash val="solid"/>
            </a:ln>
          </c:spPr>
          <c:invertIfNegative val="0"/>
          <c:dLbls>
            <c:dLbl>
              <c:idx val="2"/>
              <c:layout>
                <c:manualLayout>
                  <c:x val="-4.4515102595627729E-3"/>
                  <c:y val="3.2710281176203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B7A9-4069-BFAF-D8D6B714F14F}"/>
                </c:ext>
              </c:extLst>
            </c:dLbl>
            <c:dLbl>
              <c:idx val="3"/>
              <c:layout>
                <c:manualLayout>
                  <c:x val="-2.9676735063752365E-3"/>
                  <c:y val="3.70716519996971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B7A9-4069-BFAF-D8D6B714F14F}"/>
                </c:ext>
              </c:extLst>
            </c:dLbl>
            <c:dLbl>
              <c:idx val="4"/>
              <c:layout>
                <c:manualLayout>
                  <c:x val="-5.4406719105816517E-17"/>
                  <c:y val="4.143302282319088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B7A9-4069-BFAF-D8D6B714F14F}"/>
                </c:ext>
              </c:extLst>
            </c:dLbl>
            <c:dLbl>
              <c:idx val="5"/>
              <c:layout>
                <c:manualLayout>
                  <c:x val="-1.483836753187591E-3"/>
                  <c:y val="3.92523374114439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B7A9-4069-BFAF-D8D6B714F14F}"/>
                </c:ext>
              </c:extLst>
            </c:dLbl>
            <c:dLbl>
              <c:idx val="6"/>
              <c:layout>
                <c:manualLayout>
                  <c:x val="2.9676735063751819E-3"/>
                  <c:y val="2.616822494096258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B7A9-4069-BFAF-D8D6B714F14F}"/>
                </c:ext>
              </c:extLst>
            </c:dLbl>
            <c:dLbl>
              <c:idx val="7"/>
              <c:layout>
                <c:manualLayout>
                  <c:x val="2.9676735063751819E-3"/>
                  <c:y val="3.707165199969710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7A9-4069-BFAF-D8D6B714F14F}"/>
                </c:ext>
              </c:extLst>
            </c:dLbl>
            <c:dLbl>
              <c:idx val="8"/>
              <c:layout>
                <c:manualLayout>
                  <c:x val="1.483836753187591E-3"/>
                  <c:y val="2.398753952921577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B7A9-4069-BFAF-D8D6B714F14F}"/>
                </c:ext>
              </c:extLst>
            </c:dLbl>
            <c:dLbl>
              <c:idx val="9"/>
              <c:layout>
                <c:manualLayout>
                  <c:x val="1.4838367531874821E-3"/>
                  <c:y val="3.2710281176203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B7A9-4069-BFAF-D8D6B714F14F}"/>
                </c:ext>
              </c:extLst>
            </c:dLbl>
            <c:dLbl>
              <c:idx val="10"/>
              <c:layout>
                <c:manualLayout>
                  <c:x val="1.4838367531874821E-3"/>
                  <c:y val="3.2710281176203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B7A9-4069-BFAF-D8D6B714F14F}"/>
                </c:ext>
              </c:extLst>
            </c:dLbl>
            <c:dLbl>
              <c:idx val="11"/>
              <c:layout>
                <c:manualLayout>
                  <c:x val="2.9676735063751819E-3"/>
                  <c:y val="3.489096658795021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B7A9-4069-BFAF-D8D6B714F14F}"/>
                </c:ext>
              </c:extLst>
            </c:dLbl>
            <c:spPr>
              <a:solidFill>
                <a:srgbClr val="FF0000"/>
              </a:solidFill>
              <a:ln>
                <a:noFill/>
              </a:ln>
              <a:effectLst/>
            </c:spPr>
            <c:txPr>
              <a:bodyPr wrap="square" lIns="38100" tIns="19050" rIns="38100" bIns="19050" anchor="ctr">
                <a:spAutoFit/>
              </a:bodyPr>
              <a:lstStyle/>
              <a:p>
                <a:pPr>
                  <a:defRPr sz="90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DataSource_1!$V$5:$V$16</c:f>
              <c:numCache>
                <c:formatCode>"$"#,##0</c:formatCode>
                <c:ptCount val="12"/>
                <c:pt idx="0">
                  <c:v>16511.370000000003</c:v>
                </c:pt>
                <c:pt idx="1">
                  <c:v>21731.660000000003</c:v>
                </c:pt>
                <c:pt idx="2">
                  <c:v>1807.5199999999998</c:v>
                </c:pt>
                <c:pt idx="3">
                  <c:v>2017.85</c:v>
                </c:pt>
                <c:pt idx="4">
                  <c:v>4456.3499999999995</c:v>
                </c:pt>
                <c:pt idx="5">
                  <c:v>3889.6599999999994</c:v>
                </c:pt>
                <c:pt idx="6">
                  <c:v>541.5</c:v>
                </c:pt>
                <c:pt idx="7">
                  <c:v>2130.8100000000004</c:v>
                </c:pt>
                <c:pt idx="8">
                  <c:v>334.75</c:v>
                </c:pt>
                <c:pt idx="9">
                  <c:v>1959.69</c:v>
                </c:pt>
                <c:pt idx="10">
                  <c:v>2076.0199999999995</c:v>
                </c:pt>
                <c:pt idx="11">
                  <c:v>735.8</c:v>
                </c:pt>
              </c:numCache>
            </c:numRef>
          </c:val>
          <c:extLst>
            <c:ext xmlns:c16="http://schemas.microsoft.com/office/drawing/2014/chart" uri="{C3380CC4-5D6E-409C-BE32-E72D297353CC}">
              <c16:uniqueId val="{00000001-6167-472D-B1E7-A0857989F680}"/>
            </c:ext>
          </c:extLst>
        </c:ser>
        <c:ser>
          <c:idx val="4"/>
          <c:order val="2"/>
          <c:tx>
            <c:v>Long Distance Cost</c:v>
          </c:tx>
          <c:spPr>
            <a:solidFill>
              <a:schemeClr val="tx1"/>
            </a:solidFill>
            <a:ln w="12700">
              <a:solidFill>
                <a:srgbClr val="000000"/>
              </a:solidFill>
              <a:prstDash val="solid"/>
            </a:ln>
          </c:spPr>
          <c:invertIfNegative val="0"/>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DataSource_1!$X$5:$X$16</c:f>
              <c:numCache>
                <c:formatCode>"$"#,##0</c:formatCode>
                <c:ptCount val="12"/>
                <c:pt idx="0">
                  <c:v>206.82</c:v>
                </c:pt>
                <c:pt idx="1">
                  <c:v>248.88</c:v>
                </c:pt>
                <c:pt idx="2">
                  <c:v>210.34</c:v>
                </c:pt>
                <c:pt idx="3">
                  <c:v>155.46999999999997</c:v>
                </c:pt>
                <c:pt idx="4">
                  <c:v>136.47999999999999</c:v>
                </c:pt>
                <c:pt idx="5">
                  <c:v>139.16</c:v>
                </c:pt>
                <c:pt idx="6">
                  <c:v>170.73999999999998</c:v>
                </c:pt>
                <c:pt idx="7">
                  <c:v>107.52</c:v>
                </c:pt>
                <c:pt idx="8">
                  <c:v>87.32</c:v>
                </c:pt>
                <c:pt idx="9">
                  <c:v>42.32</c:v>
                </c:pt>
                <c:pt idx="10">
                  <c:v>25.970000000000002</c:v>
                </c:pt>
                <c:pt idx="11">
                  <c:v>53.32</c:v>
                </c:pt>
              </c:numCache>
            </c:numRef>
          </c:val>
          <c:extLst>
            <c:ext xmlns:c16="http://schemas.microsoft.com/office/drawing/2014/chart" uri="{C3380CC4-5D6E-409C-BE32-E72D297353CC}">
              <c16:uniqueId val="{00000002-6167-472D-B1E7-A0857989F680}"/>
            </c:ext>
          </c:extLst>
        </c:ser>
        <c:ser>
          <c:idx val="3"/>
          <c:order val="3"/>
          <c:tx>
            <c:v>Roaming Charge</c:v>
          </c:tx>
          <c:spPr>
            <a:gradFill rotWithShape="0">
              <a:gsLst>
                <a:gs pos="0">
                  <a:srgbClr xmlns:mc="http://schemas.openxmlformats.org/markup-compatibility/2006" xmlns:a14="http://schemas.microsoft.com/office/drawing/2010/main" val="760076" mc:Ignorable="a14" a14:legacySpreadsheetColorIndex="14">
                    <a:gamma/>
                    <a:shade val="46275"/>
                    <a:invGamma/>
                  </a:srgbClr>
                </a:gs>
                <a:gs pos="100000">
                  <a:srgbClr xmlns:mc="http://schemas.openxmlformats.org/markup-compatibility/2006" xmlns:a14="http://schemas.microsoft.com/office/drawing/2010/main" val="FF00FF" mc:Ignorable="a14" a14:legacySpreadsheetColorIndex="14"/>
                </a:gs>
              </a:gsLst>
              <a:lin ang="0" scaled="1"/>
            </a:gradFill>
            <a:ln w="12700">
              <a:solidFill>
                <a:srgbClr val="000000"/>
              </a:solidFill>
              <a:prstDash val="solid"/>
            </a:ln>
          </c:spPr>
          <c:invertIfNegative val="0"/>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DataSource_1!$Z$5:$Z$16</c:f>
              <c:numCache>
                <c:formatCode>"$"#,##0</c:formatCode>
                <c:ptCount val="12"/>
                <c:pt idx="0">
                  <c:v>43.69</c:v>
                </c:pt>
                <c:pt idx="1">
                  <c:v>129.79</c:v>
                </c:pt>
                <c:pt idx="2">
                  <c:v>254.7</c:v>
                </c:pt>
                <c:pt idx="3">
                  <c:v>210.09</c:v>
                </c:pt>
                <c:pt idx="4">
                  <c:v>98.13</c:v>
                </c:pt>
                <c:pt idx="5">
                  <c:v>105.21</c:v>
                </c:pt>
                <c:pt idx="6">
                  <c:v>70.240000000000009</c:v>
                </c:pt>
                <c:pt idx="7">
                  <c:v>108.91999999999999</c:v>
                </c:pt>
                <c:pt idx="8">
                  <c:v>101.28</c:v>
                </c:pt>
                <c:pt idx="9">
                  <c:v>443.59</c:v>
                </c:pt>
                <c:pt idx="10">
                  <c:v>256.45000000000005</c:v>
                </c:pt>
                <c:pt idx="11">
                  <c:v>56.83</c:v>
                </c:pt>
              </c:numCache>
            </c:numRef>
          </c:val>
          <c:extLst>
            <c:ext xmlns:c16="http://schemas.microsoft.com/office/drawing/2014/chart" uri="{C3380CC4-5D6E-409C-BE32-E72D297353CC}">
              <c16:uniqueId val="{00000003-6167-472D-B1E7-A0857989F680}"/>
            </c:ext>
          </c:extLst>
        </c:ser>
        <c:ser>
          <c:idx val="5"/>
          <c:order val="4"/>
          <c:tx>
            <c:v>International Calling Charge</c:v>
          </c:tx>
          <c:spPr>
            <a:solidFill>
              <a:schemeClr val="accent1"/>
            </a:solidFill>
            <a:ln w="12700">
              <a:solidFill>
                <a:srgbClr val="000000"/>
              </a:solidFill>
              <a:prstDash val="solid"/>
            </a:ln>
          </c:spPr>
          <c:invertIfNegative val="0"/>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DataSource_1!$AB$5:$AB$16</c:f>
              <c:numCache>
                <c:formatCode>"$"#,##0</c:formatCode>
                <c:ptCount val="12"/>
                <c:pt idx="0">
                  <c:v>160.38</c:v>
                </c:pt>
                <c:pt idx="1">
                  <c:v>431.65999999999997</c:v>
                </c:pt>
                <c:pt idx="2">
                  <c:v>100.72</c:v>
                </c:pt>
                <c:pt idx="3">
                  <c:v>124.77</c:v>
                </c:pt>
                <c:pt idx="4">
                  <c:v>42.36</c:v>
                </c:pt>
                <c:pt idx="5">
                  <c:v>130.44</c:v>
                </c:pt>
                <c:pt idx="6">
                  <c:v>60.64</c:v>
                </c:pt>
                <c:pt idx="7">
                  <c:v>4.07</c:v>
                </c:pt>
                <c:pt idx="8">
                  <c:v>176.73</c:v>
                </c:pt>
                <c:pt idx="9">
                  <c:v>204.91</c:v>
                </c:pt>
                <c:pt idx="10">
                  <c:v>100.98</c:v>
                </c:pt>
                <c:pt idx="11">
                  <c:v>26.15</c:v>
                </c:pt>
              </c:numCache>
            </c:numRef>
          </c:val>
          <c:extLst>
            <c:ext xmlns:c16="http://schemas.microsoft.com/office/drawing/2014/chart" uri="{C3380CC4-5D6E-409C-BE32-E72D297353CC}">
              <c16:uniqueId val="{00000004-6167-472D-B1E7-A0857989F680}"/>
            </c:ext>
          </c:extLst>
        </c:ser>
        <c:dLbls>
          <c:showLegendKey val="0"/>
          <c:showVal val="0"/>
          <c:showCatName val="0"/>
          <c:showSerName val="0"/>
          <c:showPercent val="0"/>
          <c:showBubbleSize val="0"/>
        </c:dLbls>
        <c:gapWidth val="150"/>
        <c:shape val="box"/>
        <c:axId val="184040448"/>
        <c:axId val="184054528"/>
        <c:axId val="0"/>
      </c:bar3DChart>
      <c:dateAx>
        <c:axId val="184040448"/>
        <c:scaling>
          <c:orientation val="minMax"/>
        </c:scaling>
        <c:delete val="0"/>
        <c:axPos val="b"/>
        <c:majorGridlines>
          <c:spPr>
            <a:ln w="3175">
              <a:solidFill>
                <a:srgbClr val="000000"/>
              </a:solidFill>
              <a:prstDash val="solid"/>
            </a:ln>
          </c:spPr>
        </c:majorGridlines>
        <c:numFmt formatCode="mmm\ yy" sourceLinked="0"/>
        <c:majorTickMark val="out"/>
        <c:minorTickMark val="none"/>
        <c:tickLblPos val="low"/>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184054528"/>
        <c:crosses val="autoZero"/>
        <c:auto val="1"/>
        <c:lblOffset val="100"/>
        <c:baseTimeUnit val="months"/>
        <c:majorUnit val="1"/>
        <c:majorTimeUnit val="months"/>
        <c:minorUnit val="1"/>
        <c:minorTimeUnit val="months"/>
      </c:dateAx>
      <c:valAx>
        <c:axId val="184054528"/>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175" b="0" i="0" u="none" strike="noStrike" baseline="0">
                <a:solidFill>
                  <a:srgbClr val="000000"/>
                </a:solidFill>
                <a:latin typeface="Arial"/>
                <a:ea typeface="Arial"/>
                <a:cs typeface="Arial"/>
              </a:defRPr>
            </a:pPr>
            <a:endParaRPr lang="en-US"/>
          </a:p>
        </c:txPr>
        <c:crossAx val="184040448"/>
        <c:crosses val="autoZero"/>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noFill/>
        <a:ln w="25400">
          <a:noFill/>
        </a:ln>
      </c:spPr>
    </c:plotArea>
    <c:legend>
      <c:legendPos val="t"/>
      <c:layout>
        <c:manualLayout>
          <c:xMode val="edge"/>
          <c:yMode val="edge"/>
          <c:x val="5.4451551152701637E-2"/>
          <c:y val="0.14327103155177059"/>
          <c:w val="0.89999991821372216"/>
          <c:h val="4.203468594781775E-2"/>
        </c:manualLayout>
      </c:layout>
      <c:overlay val="0"/>
    </c:legend>
    <c:plotVisOnly val="1"/>
    <c:dispBlanksAs val="gap"/>
    <c:showDLblsOverMax val="0"/>
  </c:chart>
  <c:spPr>
    <a:noFill/>
    <a:ln w="9525">
      <a:noFill/>
    </a:ln>
  </c:spPr>
  <c:txPr>
    <a:bodyPr/>
    <a:lstStyle/>
    <a:p>
      <a:pPr>
        <a:defRPr sz="1200" b="0" i="0" u="none" strike="noStrike" baseline="0">
          <a:solidFill>
            <a:srgbClr val="000000"/>
          </a:solidFill>
          <a:latin typeface="Arial"/>
          <a:ea typeface="Arial"/>
          <a:cs typeface="Arial"/>
        </a:defRPr>
      </a:pPr>
      <a:endParaRPr lang="en-US"/>
    </a:p>
  </c:txPr>
  <c:userShapes r:id="rId1"/>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Monthly Minutes and Cost Per Minute</a:t>
            </a:r>
          </a:p>
        </c:rich>
      </c:tx>
      <c:layout>
        <c:manualLayout>
          <c:xMode val="edge"/>
          <c:yMode val="edge"/>
          <c:x val="0.25971143174250833"/>
          <c:y val="8.1566068515497553E-2"/>
        </c:manualLayout>
      </c:layout>
      <c:overlay val="0"/>
      <c:spPr>
        <a:noFill/>
        <a:ln w="25400">
          <a:noFill/>
        </a:ln>
      </c:spPr>
    </c:title>
    <c:autoTitleDeleted val="0"/>
    <c:plotArea>
      <c:layout>
        <c:manualLayout>
          <c:layoutTarget val="inner"/>
          <c:xMode val="edge"/>
          <c:yMode val="edge"/>
          <c:x val="0.20421753607103219"/>
          <c:y val="0.19412724306688417"/>
          <c:w val="0.69478357380688127"/>
          <c:h val="0.62969004893964109"/>
        </c:manualLayout>
      </c:layout>
      <c:lineChart>
        <c:grouping val="stacked"/>
        <c:varyColors val="0"/>
        <c:ser>
          <c:idx val="0"/>
          <c:order val="0"/>
          <c:tx>
            <c:v>Monthly Minutes of Use</c:v>
          </c:tx>
          <c:spPr>
            <a:ln w="38100">
              <a:solidFill>
                <a:srgbClr val="000080"/>
              </a:solidFill>
              <a:prstDash val="solid"/>
            </a:ln>
          </c:spPr>
          <c:marker>
            <c:symbol val="square"/>
            <c:size val="9"/>
            <c:spPr>
              <a:solidFill>
                <a:srgbClr val="000080"/>
              </a:solidFill>
              <a:ln>
                <a:solidFill>
                  <a:srgbClr val="000080"/>
                </a:solidFill>
                <a:prstDash val="solid"/>
              </a:ln>
              <a:effectLst>
                <a:outerShdw dist="35921" dir="2700000" algn="br">
                  <a:srgbClr val="000000"/>
                </a:outerShdw>
              </a:effectLst>
            </c:spPr>
          </c:marker>
          <c:dLbls>
            <c:numFmt formatCode="#,##0" sourceLinked="0"/>
            <c:spPr>
              <a:noFill/>
              <a:ln w="25400">
                <a:noFill/>
              </a:ln>
            </c:spPr>
            <c:txPr>
              <a:bodyPr/>
              <a:lstStyle/>
              <a:p>
                <a:pPr>
                  <a:defRPr sz="900" b="1" i="0" u="none" strike="noStrike" baseline="0">
                    <a:solidFill>
                      <a:srgbClr val="FFFF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DataSource_1!$G$5:$G$16</c:f>
              <c:numCache>
                <c:formatCode>#,##0</c:formatCode>
                <c:ptCount val="12"/>
                <c:pt idx="0">
                  <c:v>175781.09999999998</c:v>
                </c:pt>
                <c:pt idx="1">
                  <c:v>193710.6</c:v>
                </c:pt>
                <c:pt idx="2">
                  <c:v>213493.3</c:v>
                </c:pt>
                <c:pt idx="3">
                  <c:v>215067.40000000002</c:v>
                </c:pt>
                <c:pt idx="4">
                  <c:v>241373.4</c:v>
                </c:pt>
                <c:pt idx="5">
                  <c:v>240571</c:v>
                </c:pt>
                <c:pt idx="6">
                  <c:v>202948.2</c:v>
                </c:pt>
                <c:pt idx="7">
                  <c:v>216164.60000000003</c:v>
                </c:pt>
                <c:pt idx="8">
                  <c:v>204332.3</c:v>
                </c:pt>
                <c:pt idx="9">
                  <c:v>210447.8</c:v>
                </c:pt>
                <c:pt idx="10">
                  <c:v>217479</c:v>
                </c:pt>
                <c:pt idx="11">
                  <c:v>204421.1</c:v>
                </c:pt>
              </c:numCache>
            </c:numRef>
          </c:val>
          <c:smooth val="0"/>
          <c:extLst>
            <c:ext xmlns:c16="http://schemas.microsoft.com/office/drawing/2014/chart" uri="{C3380CC4-5D6E-409C-BE32-E72D297353CC}">
              <c16:uniqueId val="{00000000-3463-4E90-A3AF-8B3BFBAC16A8}"/>
            </c:ext>
          </c:extLst>
        </c:ser>
        <c:dLbls>
          <c:showLegendKey val="0"/>
          <c:showVal val="0"/>
          <c:showCatName val="0"/>
          <c:showSerName val="0"/>
          <c:showPercent val="0"/>
          <c:showBubbleSize val="0"/>
        </c:dLbls>
        <c:marker val="1"/>
        <c:smooth val="0"/>
        <c:axId val="183876992"/>
        <c:axId val="183891072"/>
      </c:lineChart>
      <c:lineChart>
        <c:grouping val="standard"/>
        <c:varyColors val="0"/>
        <c:ser>
          <c:idx val="1"/>
          <c:order val="1"/>
          <c:tx>
            <c:v>Cost Per Minute</c:v>
          </c:tx>
          <c:spPr>
            <a:ln w="38100">
              <a:solidFill>
                <a:srgbClr val="FF0000"/>
              </a:solidFill>
              <a:prstDash val="solid"/>
            </a:ln>
          </c:spPr>
          <c:marker>
            <c:symbol val="square"/>
            <c:size val="9"/>
            <c:spPr>
              <a:solidFill>
                <a:srgbClr val="FF0000"/>
              </a:solidFill>
              <a:ln>
                <a:solidFill>
                  <a:srgbClr val="FF0000"/>
                </a:solidFill>
                <a:prstDash val="solid"/>
              </a:ln>
              <a:effectLst>
                <a:outerShdw dist="35921" dir="2700000" algn="br">
                  <a:srgbClr val="000000"/>
                </a:outerShdw>
              </a:effectLst>
            </c:spPr>
          </c:marker>
          <c:dLbls>
            <c:numFmt formatCode="\$#,##0.00" sourceLinked="0"/>
            <c:spPr>
              <a:solidFill>
                <a:sysClr val="window" lastClr="FFFFFF"/>
              </a:solidFill>
              <a:ln w="25400">
                <a:noFill/>
              </a:ln>
            </c:spPr>
            <c:txPr>
              <a:bodyPr/>
              <a:lstStyle/>
              <a:p>
                <a:pPr>
                  <a:defRPr sz="900" b="1" i="0" u="none" strike="noStrike" baseline="0">
                    <a:solidFill>
                      <a:srgbClr val="0000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DataSource_1!$S$5:$S$16</c:f>
              <c:numCache>
                <c:formatCode>#,##0.00</c:formatCode>
                <c:ptCount val="12"/>
                <c:pt idx="0">
                  <c:v>0.27074952881737574</c:v>
                </c:pt>
                <c:pt idx="1">
                  <c:v>0.28653465530538852</c:v>
                </c:pt>
                <c:pt idx="2">
                  <c:v>0.15308307099098661</c:v>
                </c:pt>
                <c:pt idx="3">
                  <c:v>0.16492257775934427</c:v>
                </c:pt>
                <c:pt idx="4">
                  <c:v>0.15209977570022212</c:v>
                </c:pt>
                <c:pt idx="5">
                  <c:v>0.1492033536876847</c:v>
                </c:pt>
                <c:pt idx="6">
                  <c:v>0.16117462485501224</c:v>
                </c:pt>
                <c:pt idx="7">
                  <c:v>0.15579169762301504</c:v>
                </c:pt>
                <c:pt idx="8">
                  <c:v>0.16135031025442381</c:v>
                </c:pt>
                <c:pt idx="9">
                  <c:v>0.16011020310024623</c:v>
                </c:pt>
                <c:pt idx="10">
                  <c:v>0.15705185328238591</c:v>
                </c:pt>
                <c:pt idx="11">
                  <c:v>0.15610736856420399</c:v>
                </c:pt>
              </c:numCache>
            </c:numRef>
          </c:val>
          <c:smooth val="1"/>
          <c:extLst>
            <c:ext xmlns:c16="http://schemas.microsoft.com/office/drawing/2014/chart" uri="{C3380CC4-5D6E-409C-BE32-E72D297353CC}">
              <c16:uniqueId val="{00000001-3463-4E90-A3AF-8B3BFBAC16A8}"/>
            </c:ext>
          </c:extLst>
        </c:ser>
        <c:dLbls>
          <c:showLegendKey val="0"/>
          <c:showVal val="0"/>
          <c:showCatName val="0"/>
          <c:showSerName val="0"/>
          <c:showPercent val="0"/>
          <c:showBubbleSize val="0"/>
        </c:dLbls>
        <c:hiLowLines>
          <c:spPr>
            <a:ln w="3175">
              <a:solidFill>
                <a:srgbClr val="000000"/>
              </a:solidFill>
              <a:prstDash val="solid"/>
            </a:ln>
          </c:spPr>
        </c:hiLowLines>
        <c:marker val="1"/>
        <c:smooth val="0"/>
        <c:axId val="183892992"/>
        <c:axId val="183902976"/>
      </c:lineChart>
      <c:dateAx>
        <c:axId val="183876992"/>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83891072"/>
        <c:crosses val="autoZero"/>
        <c:auto val="1"/>
        <c:lblOffset val="100"/>
        <c:baseTimeUnit val="months"/>
        <c:majorUnit val="1"/>
        <c:majorTimeUnit val="months"/>
        <c:minorUnit val="1"/>
        <c:minorTimeUnit val="months"/>
      </c:dateAx>
      <c:valAx>
        <c:axId val="1838910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Monthly Min</a:t>
                </a:r>
              </a:p>
            </c:rich>
          </c:tx>
          <c:layout>
            <c:manualLayout>
              <c:xMode val="edge"/>
              <c:yMode val="edge"/>
              <c:x val="1.3318534961154272E-2"/>
              <c:y val="0.4518760195758564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83876992"/>
        <c:crosses val="autoZero"/>
        <c:crossBetween val="between"/>
      </c:valAx>
      <c:dateAx>
        <c:axId val="183892992"/>
        <c:scaling>
          <c:orientation val="minMax"/>
        </c:scaling>
        <c:delete val="1"/>
        <c:axPos val="b"/>
        <c:numFmt formatCode="mmm\ yyyy" sourceLinked="1"/>
        <c:majorTickMark val="out"/>
        <c:minorTickMark val="none"/>
        <c:tickLblPos val="nextTo"/>
        <c:crossAx val="183902976"/>
        <c:crosses val="autoZero"/>
        <c:auto val="1"/>
        <c:lblOffset val="100"/>
        <c:baseTimeUnit val="months"/>
      </c:dateAx>
      <c:valAx>
        <c:axId val="183902976"/>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Cost Per Min</a:t>
                </a:r>
              </a:p>
            </c:rich>
          </c:tx>
          <c:layout>
            <c:manualLayout>
              <c:xMode val="edge"/>
              <c:yMode val="edge"/>
              <c:x val="0.94783573806881238"/>
              <c:y val="0.44861337683523655"/>
            </c:manualLayout>
          </c:layout>
          <c:overlay val="0"/>
          <c:spPr>
            <a:noFill/>
            <a:ln w="25400">
              <a:noFill/>
            </a:ln>
          </c:spPr>
        </c:title>
        <c:numFmt formatCode="\$#,##0.00" sourceLinked="0"/>
        <c:majorTickMark val="cross"/>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83892992"/>
        <c:crosses val="max"/>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12700">
          <a:solidFill>
            <a:srgbClr val="808080"/>
          </a:solidFill>
          <a:prstDash val="solid"/>
        </a:ln>
      </c:spPr>
    </c:plotArea>
    <c:legend>
      <c:legendPos val="t"/>
      <c:layout>
        <c:manualLayout>
          <c:xMode val="edge"/>
          <c:yMode val="edge"/>
          <c:x val="0.30042097733900869"/>
          <c:y val="0.14327103155177059"/>
          <c:w val="0.39915792848444304"/>
          <c:h val="3.7209533132424095E-2"/>
        </c:manualLayout>
      </c:layout>
      <c:overlay val="0"/>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sz="1800" b="1" i="0" u="sng" strike="noStrike" baseline="0">
                <a:solidFill>
                  <a:srgbClr val="000000"/>
                </a:solidFill>
                <a:latin typeface="Arial"/>
                <a:cs typeface="Arial"/>
              </a:rPr>
              <a:t>Savings vs. Minutes of Use</a:t>
            </a:r>
          </a:p>
          <a:p>
            <a:pPr>
              <a:defRPr sz="1800" b="1" i="0" u="sng" strike="noStrike" baseline="0">
                <a:solidFill>
                  <a:srgbClr val="000000"/>
                </a:solidFill>
                <a:latin typeface="Arial"/>
                <a:ea typeface="Arial"/>
                <a:cs typeface="Arial"/>
              </a:defRPr>
            </a:pPr>
            <a:r>
              <a:rPr lang="en-US" sz="1200" b="1" i="0" u="sng" strike="noStrike" baseline="0">
                <a:solidFill>
                  <a:srgbClr val="000000"/>
                </a:solidFill>
                <a:latin typeface="Arial"/>
                <a:cs typeface="Arial"/>
              </a:rPr>
              <a:t>(Comprehensive)</a:t>
            </a:r>
          </a:p>
        </c:rich>
      </c:tx>
      <c:layout>
        <c:manualLayout>
          <c:xMode val="edge"/>
          <c:yMode val="edge"/>
          <c:x val="0.31852296786511997"/>
          <c:y val="5.5913632494753909E-2"/>
        </c:manualLayout>
      </c:layout>
      <c:overlay val="0"/>
      <c:spPr>
        <a:noFill/>
        <a:ln w="25400">
          <a:noFill/>
        </a:ln>
      </c:spPr>
    </c:title>
    <c:autoTitleDeleted val="0"/>
    <c:plotArea>
      <c:layout>
        <c:manualLayout>
          <c:layoutTarget val="inner"/>
          <c:xMode val="edge"/>
          <c:yMode val="edge"/>
          <c:x val="0.18645948945615981"/>
          <c:y val="0.22512234910277323"/>
          <c:w val="0.72031076581576026"/>
          <c:h val="0.49429037520391517"/>
        </c:manualLayout>
      </c:layout>
      <c:lineChart>
        <c:grouping val="standard"/>
        <c:varyColors val="0"/>
        <c:ser>
          <c:idx val="14"/>
          <c:order val="2"/>
          <c:tx>
            <c:v>Monthly Mins. of Use</c:v>
          </c:tx>
          <c:spPr>
            <a:ln w="38100">
              <a:solidFill>
                <a:srgbClr val="3366FF"/>
              </a:solidFill>
              <a:prstDash val="solid"/>
            </a:ln>
          </c:spPr>
          <c:marker>
            <c:symbol val="circle"/>
            <c:size val="9"/>
            <c:spPr>
              <a:solidFill>
                <a:srgbClr val="3366FF"/>
              </a:solidFill>
              <a:ln>
                <a:solidFill>
                  <a:srgbClr val="3366FF"/>
                </a:solidFill>
                <a:prstDash val="solid"/>
              </a:ln>
              <a:effectLst>
                <a:outerShdw dist="35921" dir="2700000" algn="br">
                  <a:srgbClr val="000000"/>
                </a:outerShdw>
              </a:effectLst>
            </c:spPr>
          </c:marker>
          <c:dLbls>
            <c:dLbl>
              <c:idx val="8"/>
              <c:layout>
                <c:manualLayout>
                  <c:x val="-1.4838367531876998E-3"/>
                  <c:y val="-3.4890966587950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3D7-4248-8F81-8E6489A37DE9}"/>
                </c:ext>
              </c:extLst>
            </c:dLbl>
            <c:spPr>
              <a:noFill/>
              <a:ln>
                <a:noFill/>
              </a:ln>
              <a:effectLst/>
            </c:spPr>
            <c:txPr>
              <a:bodyPr wrap="square" lIns="38100" tIns="19050" rIns="38100" bIns="19050" anchor="ctr">
                <a:spAutoFit/>
              </a:bodyPr>
              <a:lstStyle/>
              <a:p>
                <a:pPr>
                  <a:defRPr sz="900" b="1">
                    <a:solidFill>
                      <a:srgbClr val="FFFF00"/>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DataSource_1!$Q$5:$Q$16</c:f>
              <c:numCache>
                <c:formatCode>#,##0</c:formatCode>
                <c:ptCount val="12"/>
                <c:pt idx="0">
                  <c:v>175781.09999999998</c:v>
                </c:pt>
                <c:pt idx="1">
                  <c:v>193710.6</c:v>
                </c:pt>
                <c:pt idx="2">
                  <c:v>213493.3</c:v>
                </c:pt>
                <c:pt idx="3">
                  <c:v>215067.40000000002</c:v>
                </c:pt>
                <c:pt idx="4">
                  <c:v>241373.4</c:v>
                </c:pt>
                <c:pt idx="5">
                  <c:v>240571</c:v>
                </c:pt>
                <c:pt idx="6">
                  <c:v>202948.2</c:v>
                </c:pt>
                <c:pt idx="7">
                  <c:v>216164.60000000003</c:v>
                </c:pt>
                <c:pt idx="8">
                  <c:v>204332.3</c:v>
                </c:pt>
                <c:pt idx="9">
                  <c:v>210447.8</c:v>
                </c:pt>
                <c:pt idx="10">
                  <c:v>217479</c:v>
                </c:pt>
                <c:pt idx="11">
                  <c:v>204421.1</c:v>
                </c:pt>
              </c:numCache>
            </c:numRef>
          </c:val>
          <c:smooth val="0"/>
          <c:extLst>
            <c:ext xmlns:c16="http://schemas.microsoft.com/office/drawing/2014/chart" uri="{C3380CC4-5D6E-409C-BE32-E72D297353CC}">
              <c16:uniqueId val="{00000000-E0E1-4F40-9540-4477934F1A1D}"/>
            </c:ext>
          </c:extLst>
        </c:ser>
        <c:dLbls>
          <c:showLegendKey val="0"/>
          <c:showVal val="0"/>
          <c:showCatName val="0"/>
          <c:showSerName val="0"/>
          <c:showPercent val="0"/>
          <c:showBubbleSize val="0"/>
        </c:dLbls>
        <c:marker val="1"/>
        <c:smooth val="0"/>
        <c:axId val="182218112"/>
        <c:axId val="182224000"/>
      </c:lineChart>
      <c:lineChart>
        <c:grouping val="standard"/>
        <c:varyColors val="0"/>
        <c:ser>
          <c:idx val="12"/>
          <c:order val="0"/>
          <c:tx>
            <c:v>Net Monthly Savings</c:v>
          </c:tx>
          <c:spPr>
            <a:ln w="38100">
              <a:solidFill>
                <a:srgbClr val="003300"/>
              </a:solidFill>
              <a:prstDash val="solid"/>
            </a:ln>
          </c:spPr>
          <c:marker>
            <c:symbol val="x"/>
            <c:size val="9"/>
            <c:spPr>
              <a:solidFill>
                <a:srgbClr val="003300"/>
              </a:solidFill>
              <a:ln>
                <a:solidFill>
                  <a:srgbClr val="003300"/>
                </a:solidFill>
                <a:prstDash val="solid"/>
              </a:ln>
              <a:effectLst>
                <a:outerShdw dist="35921" dir="2700000" algn="br">
                  <a:srgbClr val="000000"/>
                </a:outerShdw>
              </a:effectLst>
            </c:spPr>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DataSource_1!$O$5:$O$16</c:f>
              <c:numCache>
                <c:formatCode>"$"#,##0</c:formatCode>
                <c:ptCount val="12"/>
                <c:pt idx="0">
                  <c:v>-2056.75</c:v>
                </c:pt>
                <c:pt idx="1">
                  <c:v>-2151.75</c:v>
                </c:pt>
                <c:pt idx="2">
                  <c:v>26306.019125509898</c:v>
                </c:pt>
                <c:pt idx="3">
                  <c:v>23879.543326426123</c:v>
                </c:pt>
                <c:pt idx="4">
                  <c:v>30169.003968889665</c:v>
                </c:pt>
                <c:pt idx="5">
                  <c:v>30767.428561472632</c:v>
                </c:pt>
                <c:pt idx="6">
                  <c:v>23118.842531849055</c:v>
                </c:pt>
                <c:pt idx="7">
                  <c:v>25939.249150227195</c:v>
                </c:pt>
                <c:pt idx="8">
                  <c:v>23246.955148257235</c:v>
                </c:pt>
                <c:pt idx="9">
                  <c:v>24344.747832777342</c:v>
                </c:pt>
                <c:pt idx="10">
                  <c:v>25860.790301160589</c:v>
                </c:pt>
                <c:pt idx="11">
                  <c:v>24386.839425648359</c:v>
                </c:pt>
              </c:numCache>
            </c:numRef>
          </c:val>
          <c:smooth val="0"/>
          <c:extLst>
            <c:ext xmlns:c16="http://schemas.microsoft.com/office/drawing/2014/chart" uri="{C3380CC4-5D6E-409C-BE32-E72D297353CC}">
              <c16:uniqueId val="{00000001-E0E1-4F40-9540-4477934F1A1D}"/>
            </c:ext>
          </c:extLst>
        </c:ser>
        <c:ser>
          <c:idx val="13"/>
          <c:order val="1"/>
          <c:tx>
            <c:v>Net Cumulative Savings</c:v>
          </c:tx>
          <c:spPr>
            <a:ln w="38100">
              <a:solidFill>
                <a:srgbClr val="008000"/>
              </a:solidFill>
              <a:prstDash val="solid"/>
            </a:ln>
          </c:spPr>
          <c:marker>
            <c:symbol val="star"/>
            <c:size val="5"/>
            <c:spPr>
              <a:solidFill>
                <a:srgbClr val="008000"/>
              </a:solidFill>
              <a:ln>
                <a:solidFill>
                  <a:srgbClr val="008000"/>
                </a:solidFill>
                <a:prstDash val="solid"/>
              </a:ln>
              <a:effectLst>
                <a:outerShdw dist="35921" dir="2700000" algn="br">
                  <a:srgbClr val="000000"/>
                </a:outerShdw>
              </a:effectLst>
            </c:spPr>
          </c:marker>
          <c:dLbls>
            <c:dLbl>
              <c:idx val="9"/>
              <c:layout>
                <c:manualLayout>
                  <c:x val="-1.0386857272313137E-2"/>
                  <c:y val="-4.36137082349378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3D7-4248-8F81-8E6489A37DE9}"/>
                </c:ext>
              </c:extLst>
            </c:dLbl>
            <c:spPr>
              <a:noFill/>
              <a:ln>
                <a:noFill/>
              </a:ln>
              <a:effectLst/>
            </c:spPr>
            <c:txPr>
              <a:bodyPr wrap="square" lIns="38100" tIns="19050" rIns="38100" bIns="19050" anchor="ctr">
                <a:spAutoFit/>
              </a:bodyPr>
              <a:lstStyle/>
              <a:p>
                <a:pPr>
                  <a:defRPr sz="900" baseline="0">
                    <a:solidFill>
                      <a:schemeClr val="bg1"/>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DataSource_1!$P$5:$P$16</c:f>
              <c:numCache>
                <c:formatCode>"$"#,##0</c:formatCode>
                <c:ptCount val="12"/>
                <c:pt idx="0">
                  <c:v>-2056.75</c:v>
                </c:pt>
                <c:pt idx="1">
                  <c:v>-4208.5</c:v>
                </c:pt>
                <c:pt idx="2">
                  <c:v>22097.519125509898</c:v>
                </c:pt>
                <c:pt idx="3">
                  <c:v>45977.062451936021</c:v>
                </c:pt>
                <c:pt idx="4">
                  <c:v>76146.066420825693</c:v>
                </c:pt>
                <c:pt idx="5">
                  <c:v>106913.49498229832</c:v>
                </c:pt>
                <c:pt idx="6">
                  <c:v>130032.33751414737</c:v>
                </c:pt>
                <c:pt idx="7">
                  <c:v>155971.58666437457</c:v>
                </c:pt>
                <c:pt idx="8">
                  <c:v>179218.5418126318</c:v>
                </c:pt>
                <c:pt idx="9">
                  <c:v>203563.28964540915</c:v>
                </c:pt>
                <c:pt idx="10">
                  <c:v>229424.07994656975</c:v>
                </c:pt>
                <c:pt idx="11">
                  <c:v>253810.91937221811</c:v>
                </c:pt>
              </c:numCache>
            </c:numRef>
          </c:val>
          <c:smooth val="0"/>
          <c:extLst>
            <c:ext xmlns:c16="http://schemas.microsoft.com/office/drawing/2014/chart" uri="{C3380CC4-5D6E-409C-BE32-E72D297353CC}">
              <c16:uniqueId val="{00000002-E0E1-4F40-9540-4477934F1A1D}"/>
            </c:ext>
          </c:extLst>
        </c:ser>
        <c:ser>
          <c:idx val="0"/>
          <c:order val="3"/>
          <c:tx>
            <c:v>Non Usage Cost</c:v>
          </c:tx>
          <c:spPr>
            <a:ln w="38100">
              <a:pattFill prst="pct75">
                <a:fgClr>
                  <a:srgbClr val="FF0000"/>
                </a:fgClr>
                <a:bgClr>
                  <a:srgbClr val="FFFFFF"/>
                </a:bgClr>
              </a:pattFill>
              <a:prstDash val="solid"/>
            </a:ln>
          </c:spPr>
          <c:marker>
            <c:symbol val="diamond"/>
            <c:size val="9"/>
            <c:spPr>
              <a:solidFill>
                <a:srgbClr val="FF0000"/>
              </a:solidFill>
              <a:ln>
                <a:solidFill>
                  <a:srgbClr val="FF0000"/>
                </a:solidFill>
                <a:prstDash val="solid"/>
              </a:ln>
              <a:effectLst>
                <a:outerShdw dist="35921" dir="2700000" algn="br">
                  <a:srgbClr val="000000"/>
                </a:outerShdw>
              </a:effectLst>
            </c:spPr>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DataSource_1!$AC$5:$AC$16</c:f>
              <c:numCache>
                <c:formatCode>"$"#,##0</c:formatCode>
                <c:ptCount val="12"/>
                <c:pt idx="0">
                  <c:v>23065.81</c:v>
                </c:pt>
                <c:pt idx="1">
                  <c:v>24400.789999999997</c:v>
                </c:pt>
                <c:pt idx="2">
                  <c:v>24654.67</c:v>
                </c:pt>
                <c:pt idx="3">
                  <c:v>25685.399999999998</c:v>
                </c:pt>
                <c:pt idx="4">
                  <c:v>25642.63</c:v>
                </c:pt>
                <c:pt idx="5">
                  <c:v>25534.27</c:v>
                </c:pt>
                <c:pt idx="6">
                  <c:v>25922.21</c:v>
                </c:pt>
                <c:pt idx="7">
                  <c:v>25540.820000000003</c:v>
                </c:pt>
                <c:pt idx="8">
                  <c:v>25536.399999999998</c:v>
                </c:pt>
                <c:pt idx="9">
                  <c:v>25049.35</c:v>
                </c:pt>
                <c:pt idx="10">
                  <c:v>25309.940000000002</c:v>
                </c:pt>
                <c:pt idx="11">
                  <c:v>25124.920000000002</c:v>
                </c:pt>
              </c:numCache>
            </c:numRef>
          </c:val>
          <c:smooth val="0"/>
          <c:extLst>
            <c:ext xmlns:c16="http://schemas.microsoft.com/office/drawing/2014/chart" uri="{C3380CC4-5D6E-409C-BE32-E72D297353CC}">
              <c16:uniqueId val="{00000003-E0E1-4F40-9540-4477934F1A1D}"/>
            </c:ext>
          </c:extLst>
        </c:ser>
        <c:ser>
          <c:idx val="1"/>
          <c:order val="4"/>
          <c:tx>
            <c:v>Usage Cost</c:v>
          </c:tx>
          <c:spPr>
            <a:ln w="38100">
              <a:pattFill prst="pct25">
                <a:fgClr>
                  <a:srgbClr val="FF0000"/>
                </a:fgClr>
                <a:bgClr>
                  <a:srgbClr val="FFFFFF"/>
                </a:bgClr>
              </a:pattFill>
              <a:prstDash val="solid"/>
            </a:ln>
          </c:spPr>
          <c:marker>
            <c:symbol val="circle"/>
            <c:size val="11"/>
            <c:spPr>
              <a:solidFill>
                <a:srgbClr val="FF0000"/>
              </a:solidFill>
              <a:ln>
                <a:solidFill>
                  <a:srgbClr val="FF0000"/>
                </a:solidFill>
                <a:prstDash val="solid"/>
              </a:ln>
              <a:effectLst>
                <a:outerShdw dist="35921" dir="2700000" algn="br">
                  <a:srgbClr val="000000"/>
                </a:outerShdw>
              </a:effectLst>
            </c:spPr>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DataSource_1!$AD$5:$AD$16</c:f>
              <c:numCache>
                <c:formatCode>"$"#,##0</c:formatCode>
                <c:ptCount val="12"/>
                <c:pt idx="0">
                  <c:v>24526.84</c:v>
                </c:pt>
                <c:pt idx="1">
                  <c:v>31104.01</c:v>
                </c:pt>
                <c:pt idx="2">
                  <c:v>8027.5400000000045</c:v>
                </c:pt>
                <c:pt idx="3">
                  <c:v>9784.0700000000033</c:v>
                </c:pt>
                <c:pt idx="4">
                  <c:v>11070.209999999995</c:v>
                </c:pt>
                <c:pt idx="5">
                  <c:v>10359.729999999992</c:v>
                </c:pt>
                <c:pt idx="6">
                  <c:v>6787.8899999999994</c:v>
                </c:pt>
                <c:pt idx="7">
                  <c:v>8135.8299999999981</c:v>
                </c:pt>
                <c:pt idx="8">
                  <c:v>7432.6800000000039</c:v>
                </c:pt>
                <c:pt idx="9">
                  <c:v>8645.489999999998</c:v>
                </c:pt>
                <c:pt idx="10">
                  <c:v>8845.5400000000009</c:v>
                </c:pt>
                <c:pt idx="11">
                  <c:v>6786.7200000000012</c:v>
                </c:pt>
              </c:numCache>
            </c:numRef>
          </c:val>
          <c:smooth val="0"/>
          <c:extLst>
            <c:ext xmlns:c16="http://schemas.microsoft.com/office/drawing/2014/chart" uri="{C3380CC4-5D6E-409C-BE32-E72D297353CC}">
              <c16:uniqueId val="{00000004-E0E1-4F40-9540-4477934F1A1D}"/>
            </c:ext>
          </c:extLst>
        </c:ser>
        <c:ser>
          <c:idx val="2"/>
          <c:order val="5"/>
          <c:tx>
            <c:v>Monthly Wireless Spend</c:v>
          </c:tx>
          <c:spPr>
            <a:ln w="38100">
              <a:solidFill>
                <a:srgbClr val="FF0000"/>
              </a:solidFill>
              <a:prstDash val="solid"/>
            </a:ln>
          </c:spPr>
          <c:marker>
            <c:symbol val="triangle"/>
            <c:size val="9"/>
            <c:spPr>
              <a:solidFill>
                <a:srgbClr val="FF0000"/>
              </a:solidFill>
              <a:ln>
                <a:solidFill>
                  <a:srgbClr val="FF0000"/>
                </a:solidFill>
                <a:prstDash val="solid"/>
              </a:ln>
            </c:spPr>
          </c:marker>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DataSource_1!$E$5:$E$16</c:f>
              <c:numCache>
                <c:formatCode>"$"#,##0</c:formatCode>
                <c:ptCount val="12"/>
                <c:pt idx="0">
                  <c:v>47592.65</c:v>
                </c:pt>
                <c:pt idx="1">
                  <c:v>55504.799999999996</c:v>
                </c:pt>
                <c:pt idx="2">
                  <c:v>32682.210000000003</c:v>
                </c:pt>
                <c:pt idx="3">
                  <c:v>35469.47</c:v>
                </c:pt>
                <c:pt idx="4">
                  <c:v>36712.839999999997</c:v>
                </c:pt>
                <c:pt idx="5">
                  <c:v>35893.999999999993</c:v>
                </c:pt>
                <c:pt idx="6">
                  <c:v>32710.1</c:v>
                </c:pt>
                <c:pt idx="7">
                  <c:v>33676.65</c:v>
                </c:pt>
                <c:pt idx="8">
                  <c:v>32969.08</c:v>
                </c:pt>
                <c:pt idx="9">
                  <c:v>33694.839999999997</c:v>
                </c:pt>
                <c:pt idx="10">
                  <c:v>34155.480000000003</c:v>
                </c:pt>
                <c:pt idx="11">
                  <c:v>31911.640000000003</c:v>
                </c:pt>
              </c:numCache>
            </c:numRef>
          </c:val>
          <c:smooth val="0"/>
          <c:extLst>
            <c:ext xmlns:c16="http://schemas.microsoft.com/office/drawing/2014/chart" uri="{C3380CC4-5D6E-409C-BE32-E72D297353CC}">
              <c16:uniqueId val="{00000005-E0E1-4F40-9540-4477934F1A1D}"/>
            </c:ext>
          </c:extLst>
        </c:ser>
        <c:dLbls>
          <c:showLegendKey val="0"/>
          <c:showVal val="0"/>
          <c:showCatName val="0"/>
          <c:showSerName val="0"/>
          <c:showPercent val="0"/>
          <c:showBubbleSize val="0"/>
        </c:dLbls>
        <c:marker val="1"/>
        <c:smooth val="0"/>
        <c:axId val="182214656"/>
        <c:axId val="182216576"/>
      </c:lineChart>
      <c:dateAx>
        <c:axId val="182218112"/>
        <c:scaling>
          <c:orientation val="minMax"/>
        </c:scaling>
        <c:delete val="1"/>
        <c:axPos val="b"/>
        <c:numFmt formatCode="mmm\ yyyy" sourceLinked="1"/>
        <c:majorTickMark val="out"/>
        <c:minorTickMark val="none"/>
        <c:tickLblPos val="nextTo"/>
        <c:crossAx val="182224000"/>
        <c:crosses val="autoZero"/>
        <c:auto val="1"/>
        <c:lblOffset val="100"/>
        <c:baseTimeUnit val="months"/>
      </c:dateAx>
      <c:valAx>
        <c:axId val="182224000"/>
        <c:scaling>
          <c:orientation val="minMax"/>
        </c:scaling>
        <c:delete val="0"/>
        <c:axPos val="r"/>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218112"/>
        <c:crosses val="max"/>
        <c:crossBetween val="between"/>
      </c:valAx>
      <c:dateAx>
        <c:axId val="182214656"/>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nextTo"/>
        <c:crossAx val="182216576"/>
        <c:crosses val="autoZero"/>
        <c:auto val="1"/>
        <c:lblOffset val="100"/>
        <c:baseTimeUnit val="months"/>
        <c:majorUnit val="1"/>
        <c:majorTimeUnit val="months"/>
        <c:minorUnit val="1"/>
        <c:minorTimeUnit val="months"/>
      </c:dateAx>
      <c:valAx>
        <c:axId val="182216576"/>
        <c:scaling>
          <c:orientation val="minMax"/>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82214656"/>
        <c:crosses val="autoZero"/>
        <c:crossBetween val="between"/>
      </c:valAx>
      <c:dTable>
        <c:showHorzBorder val="1"/>
        <c:showVertBorder val="1"/>
        <c:showOutline val="1"/>
        <c:showKeys val="0"/>
        <c:spPr>
          <a:ln w="3175">
            <a:solidFill>
              <a:srgbClr val="000000"/>
            </a:solidFill>
            <a:prstDash val="solid"/>
          </a:ln>
        </c:spPr>
        <c:txPr>
          <a:bodyPr/>
          <a:lstStyle/>
          <a:p>
            <a:pPr rtl="0">
              <a:defRPr sz="8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C0C0C0" mc:Ignorable="a14" a14:legacySpreadsheetColorIndex="22"/>
            </a:gs>
            <a:gs pos="100000">
              <a:srgbClr xmlns:mc="http://schemas.openxmlformats.org/markup-compatibility/2006" xmlns:a14="http://schemas.microsoft.com/office/drawing/2010/main" val="003366" mc:Ignorable="a14" a14:legacySpreadsheetColorIndex="56"/>
            </a:gs>
          </a:gsLst>
          <a:lin ang="2700000" scaled="1"/>
        </a:gradFill>
        <a:ln w="25400">
          <a:noFill/>
        </a:ln>
      </c:spPr>
    </c:plotArea>
    <c:legend>
      <c:legendPos val="t"/>
      <c:layout>
        <c:manualLayout>
          <c:xMode val="edge"/>
          <c:yMode val="edge"/>
          <c:x val="0.18696237936377988"/>
          <c:y val="0.15156862539722388"/>
          <c:w val="0.70471858919138253"/>
          <c:h val="7.1148038147227866E-2"/>
        </c:manualLayout>
      </c:layout>
      <c:overlay val="0"/>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Net Savings &amp; Minutes of Use</a:t>
            </a:r>
          </a:p>
        </c:rich>
      </c:tx>
      <c:layout>
        <c:manualLayout>
          <c:xMode val="edge"/>
          <c:yMode val="edge"/>
          <c:x val="0.30077691453940064"/>
          <c:y val="9.2985318107667206E-2"/>
        </c:manualLayout>
      </c:layout>
      <c:overlay val="0"/>
      <c:spPr>
        <a:noFill/>
        <a:ln w="25400">
          <a:noFill/>
        </a:ln>
      </c:spPr>
    </c:title>
    <c:autoTitleDeleted val="0"/>
    <c:plotArea>
      <c:layout>
        <c:manualLayout>
          <c:layoutTarget val="inner"/>
          <c:xMode val="edge"/>
          <c:yMode val="edge"/>
          <c:x val="0.16870144284128746"/>
          <c:y val="0.23980424143556281"/>
          <c:w val="0.73362930077691457"/>
          <c:h val="0.54486133768352363"/>
        </c:manualLayout>
      </c:layout>
      <c:barChart>
        <c:barDir val="col"/>
        <c:grouping val="clustered"/>
        <c:varyColors val="0"/>
        <c:ser>
          <c:idx val="12"/>
          <c:order val="0"/>
          <c:tx>
            <c:v>Net Monthly Savings</c:v>
          </c:tx>
          <c:spPr>
            <a:solidFill>
              <a:schemeClr val="accent1">
                <a:lumMod val="60000"/>
                <a:lumOff val="40000"/>
              </a:schemeClr>
            </a:solidFill>
            <a:ln w="12700">
              <a:solidFill>
                <a:srgbClr val="000000"/>
              </a:solidFill>
              <a:prstDash val="solid"/>
            </a:ln>
            <a:effectLst>
              <a:outerShdw dist="35921" dir="2700000" algn="br">
                <a:srgbClr val="000000"/>
              </a:outerShdw>
            </a:effectLst>
          </c:spPr>
          <c:invertIfNegative val="0"/>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DataSource_1!$O$5:$O$16</c:f>
              <c:numCache>
                <c:formatCode>"$"#,##0</c:formatCode>
                <c:ptCount val="12"/>
                <c:pt idx="0">
                  <c:v>-2056.75</c:v>
                </c:pt>
                <c:pt idx="1">
                  <c:v>-2151.75</c:v>
                </c:pt>
                <c:pt idx="2">
                  <c:v>26306.019125509898</c:v>
                </c:pt>
                <c:pt idx="3">
                  <c:v>23879.543326426123</c:v>
                </c:pt>
                <c:pt idx="4">
                  <c:v>30169.003968889665</c:v>
                </c:pt>
                <c:pt idx="5">
                  <c:v>30767.428561472632</c:v>
                </c:pt>
                <c:pt idx="6">
                  <c:v>23118.842531849055</c:v>
                </c:pt>
                <c:pt idx="7">
                  <c:v>25939.249150227195</c:v>
                </c:pt>
                <c:pt idx="8">
                  <c:v>23246.955148257235</c:v>
                </c:pt>
                <c:pt idx="9">
                  <c:v>24344.747832777342</c:v>
                </c:pt>
                <c:pt idx="10">
                  <c:v>25860.790301160589</c:v>
                </c:pt>
                <c:pt idx="11">
                  <c:v>24386.839425648359</c:v>
                </c:pt>
              </c:numCache>
            </c:numRef>
          </c:val>
          <c:extLst>
            <c:ext xmlns:c16="http://schemas.microsoft.com/office/drawing/2014/chart" uri="{C3380CC4-5D6E-409C-BE32-E72D297353CC}">
              <c16:uniqueId val="{00000000-65A0-4A51-9010-72C91AE999D1}"/>
            </c:ext>
          </c:extLst>
        </c:ser>
        <c:ser>
          <c:idx val="13"/>
          <c:order val="1"/>
          <c:tx>
            <c:v>Net Cumulative Savings</c:v>
          </c:tx>
          <c:spPr>
            <a:gradFill rotWithShape="0">
              <a:gsLst>
                <a:gs pos="0">
                  <a:srgbClr xmlns:mc="http://schemas.openxmlformats.org/markup-compatibility/2006" xmlns:a14="http://schemas.microsoft.com/office/drawing/2010/main" val="008000" mc:Ignorable="a14" a14:legacySpreadsheetColorIndex="17"/>
                </a:gs>
                <a:gs pos="100000">
                  <a:srgbClr xmlns:mc="http://schemas.openxmlformats.org/markup-compatibility/2006" xmlns:a14="http://schemas.microsoft.com/office/drawing/2010/main" val="003B00" mc:Ignorable="a14" a14:legacySpreadsheetColorIndex="17">
                    <a:gamma/>
                    <a:shade val="46275"/>
                    <a:invGamma/>
                  </a:srgbClr>
                </a:gs>
              </a:gsLst>
              <a:lin ang="0" scaled="1"/>
            </a:gradFill>
            <a:ln w="12700">
              <a:solidFill>
                <a:srgbClr val="000000"/>
              </a:solidFill>
              <a:prstDash val="solid"/>
            </a:ln>
            <a:effectLst>
              <a:outerShdw dist="35921" dir="2700000" algn="br">
                <a:srgbClr val="000000"/>
              </a:outerShdw>
            </a:effectLst>
          </c:spPr>
          <c:invertIfNegative val="0"/>
          <c:dLbls>
            <c:numFmt formatCode="\$#,##0_);[Red]\(\$#,##0\)" sourceLinked="0"/>
            <c:spPr>
              <a:solidFill>
                <a:schemeClr val="bg1"/>
              </a:solidFill>
              <a:ln w="25400">
                <a:noFill/>
              </a:ln>
            </c:spPr>
            <c:txPr>
              <a:bodyPr wrap="none"/>
              <a:lstStyle/>
              <a:p>
                <a:pPr>
                  <a:defRPr sz="900" b="1" i="0" u="none" strike="noStrike" baseline="0">
                    <a:solidFill>
                      <a:sysClr val="windowText" lastClr="000000"/>
                    </a:solidFill>
                    <a:latin typeface="Arial"/>
                    <a:ea typeface="Arial"/>
                    <a:cs typeface="Arial"/>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DataSource_1!$P$5:$P$16</c:f>
              <c:numCache>
                <c:formatCode>"$"#,##0</c:formatCode>
                <c:ptCount val="12"/>
                <c:pt idx="0">
                  <c:v>-2056.75</c:v>
                </c:pt>
                <c:pt idx="1">
                  <c:v>-4208.5</c:v>
                </c:pt>
                <c:pt idx="2">
                  <c:v>22097.519125509898</c:v>
                </c:pt>
                <c:pt idx="3">
                  <c:v>45977.062451936021</c:v>
                </c:pt>
                <c:pt idx="4">
                  <c:v>76146.066420825693</c:v>
                </c:pt>
                <c:pt idx="5">
                  <c:v>106913.49498229832</c:v>
                </c:pt>
                <c:pt idx="6">
                  <c:v>130032.33751414737</c:v>
                </c:pt>
                <c:pt idx="7">
                  <c:v>155971.58666437457</c:v>
                </c:pt>
                <c:pt idx="8">
                  <c:v>179218.5418126318</c:v>
                </c:pt>
                <c:pt idx="9">
                  <c:v>203563.28964540915</c:v>
                </c:pt>
                <c:pt idx="10">
                  <c:v>229424.07994656975</c:v>
                </c:pt>
                <c:pt idx="11">
                  <c:v>253810.91937221811</c:v>
                </c:pt>
              </c:numCache>
            </c:numRef>
          </c:val>
          <c:extLst>
            <c:ext xmlns:c16="http://schemas.microsoft.com/office/drawing/2014/chart" uri="{C3380CC4-5D6E-409C-BE32-E72D297353CC}">
              <c16:uniqueId val="{00000001-65A0-4A51-9010-72C91AE999D1}"/>
            </c:ext>
          </c:extLst>
        </c:ser>
        <c:dLbls>
          <c:showLegendKey val="0"/>
          <c:showVal val="0"/>
          <c:showCatName val="0"/>
          <c:showSerName val="0"/>
          <c:showPercent val="0"/>
          <c:showBubbleSize val="0"/>
        </c:dLbls>
        <c:gapWidth val="25"/>
        <c:axId val="168359424"/>
        <c:axId val="168360960"/>
      </c:barChart>
      <c:lineChart>
        <c:grouping val="standard"/>
        <c:varyColors val="0"/>
        <c:ser>
          <c:idx val="14"/>
          <c:order val="2"/>
          <c:tx>
            <c:v>Monthly Mins. of Use</c:v>
          </c:tx>
          <c:spPr>
            <a:ln w="38100">
              <a:solidFill>
                <a:srgbClr val="FF0000"/>
              </a:solidFill>
              <a:prstDash val="solid"/>
            </a:ln>
          </c:spPr>
          <c:marker>
            <c:symbol val="circle"/>
            <c:size val="9"/>
            <c:spPr>
              <a:solidFill>
                <a:srgbClr val="FF0000"/>
              </a:solidFill>
              <a:ln>
                <a:solidFill>
                  <a:srgbClr val="FF0000"/>
                </a:solidFill>
                <a:prstDash val="solid"/>
              </a:ln>
              <a:effectLst>
                <a:outerShdw dist="35921" dir="2700000" algn="br">
                  <a:srgbClr val="000000"/>
                </a:outerShdw>
              </a:effectLst>
            </c:spPr>
          </c:marker>
          <c:dLbls>
            <c:dLbl>
              <c:idx val="10"/>
              <c:layout>
                <c:manualLayout>
                  <c:x val="-2.6360418339147363E-2"/>
                  <c:y val="2.79726991923049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DF9-401D-A56F-2FB9492B3AD5}"/>
                </c:ext>
              </c:extLst>
            </c:dLbl>
            <c:dLbl>
              <c:idx val="11"/>
              <c:layout>
                <c:manualLayout>
                  <c:x val="-3.8231112364648198E-2"/>
                  <c:y val="2.797269919230503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5A0-4A51-9010-72C91AE999D1}"/>
                </c:ext>
              </c:extLst>
            </c:dLbl>
            <c:spPr>
              <a:noFill/>
              <a:ln w="25400">
                <a:noFill/>
              </a:ln>
            </c:spPr>
            <c:txPr>
              <a:bodyPr/>
              <a:lstStyle/>
              <a:p>
                <a:pPr>
                  <a:defRPr sz="900" b="1" i="0" u="none" strike="noStrike" baseline="0">
                    <a:solidFill>
                      <a:srgbClr val="FFFF00"/>
                    </a:solidFill>
                    <a:latin typeface="Arial"/>
                    <a:ea typeface="Arial"/>
                    <a:cs typeface="Arial"/>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DataSource_1!$B$5:$B$16</c:f>
              <c:numCache>
                <c:formatCode>mmm\ yyyy</c:formatCode>
                <c:ptCount val="12"/>
                <c:pt idx="0">
                  <c:v>44562</c:v>
                </c:pt>
                <c:pt idx="1">
                  <c:v>44593</c:v>
                </c:pt>
                <c:pt idx="2">
                  <c:v>44621</c:v>
                </c:pt>
                <c:pt idx="3">
                  <c:v>44652</c:v>
                </c:pt>
                <c:pt idx="4">
                  <c:v>44682</c:v>
                </c:pt>
                <c:pt idx="5">
                  <c:v>44713</c:v>
                </c:pt>
                <c:pt idx="6">
                  <c:v>44743</c:v>
                </c:pt>
                <c:pt idx="7">
                  <c:v>44774</c:v>
                </c:pt>
                <c:pt idx="8">
                  <c:v>44805</c:v>
                </c:pt>
                <c:pt idx="9">
                  <c:v>44835</c:v>
                </c:pt>
                <c:pt idx="10">
                  <c:v>44866</c:v>
                </c:pt>
                <c:pt idx="11">
                  <c:v>44896</c:v>
                </c:pt>
              </c:numCache>
            </c:numRef>
          </c:cat>
          <c:val>
            <c:numRef>
              <c:f>DataSource_1!$Q$5:$Q$16</c:f>
              <c:numCache>
                <c:formatCode>#,##0</c:formatCode>
                <c:ptCount val="12"/>
                <c:pt idx="0">
                  <c:v>175781.09999999998</c:v>
                </c:pt>
                <c:pt idx="1">
                  <c:v>193710.6</c:v>
                </c:pt>
                <c:pt idx="2">
                  <c:v>213493.3</c:v>
                </c:pt>
                <c:pt idx="3">
                  <c:v>215067.40000000002</c:v>
                </c:pt>
                <c:pt idx="4">
                  <c:v>241373.4</c:v>
                </c:pt>
                <c:pt idx="5">
                  <c:v>240571</c:v>
                </c:pt>
                <c:pt idx="6">
                  <c:v>202948.2</c:v>
                </c:pt>
                <c:pt idx="7">
                  <c:v>216164.60000000003</c:v>
                </c:pt>
                <c:pt idx="8">
                  <c:v>204332.3</c:v>
                </c:pt>
                <c:pt idx="9">
                  <c:v>210447.8</c:v>
                </c:pt>
                <c:pt idx="10">
                  <c:v>217479</c:v>
                </c:pt>
                <c:pt idx="11">
                  <c:v>204421.1</c:v>
                </c:pt>
              </c:numCache>
            </c:numRef>
          </c:val>
          <c:smooth val="0"/>
          <c:extLst>
            <c:ext xmlns:c16="http://schemas.microsoft.com/office/drawing/2014/chart" uri="{C3380CC4-5D6E-409C-BE32-E72D297353CC}">
              <c16:uniqueId val="{00000006-65A0-4A51-9010-72C91AE999D1}"/>
            </c:ext>
          </c:extLst>
        </c:ser>
        <c:dLbls>
          <c:showLegendKey val="0"/>
          <c:showVal val="0"/>
          <c:showCatName val="0"/>
          <c:showSerName val="0"/>
          <c:showPercent val="0"/>
          <c:showBubbleSize val="0"/>
        </c:dLbls>
        <c:marker val="1"/>
        <c:smooth val="0"/>
        <c:axId val="168379136"/>
        <c:axId val="168380672"/>
      </c:lineChart>
      <c:dateAx>
        <c:axId val="168359424"/>
        <c:scaling>
          <c:orientation val="minMax"/>
        </c:scaling>
        <c:delete val="1"/>
        <c:axPos val="b"/>
        <c:majorGridlines>
          <c:spPr>
            <a:ln w="3175">
              <a:solidFill>
                <a:srgbClr val="000000"/>
              </a:solidFill>
              <a:prstDash val="solid"/>
            </a:ln>
          </c:spPr>
        </c:majorGridlines>
        <c:numFmt formatCode="mmm\-yy" sourceLinked="0"/>
        <c:majorTickMark val="out"/>
        <c:minorTickMark val="none"/>
        <c:tickLblPos val="low"/>
        <c:crossAx val="168360960"/>
        <c:crosses val="autoZero"/>
        <c:auto val="1"/>
        <c:lblOffset val="100"/>
        <c:baseTimeUnit val="months"/>
        <c:majorUnit val="1"/>
        <c:majorTimeUnit val="months"/>
        <c:minorUnit val="1"/>
        <c:minorTimeUnit val="months"/>
      </c:dateAx>
      <c:valAx>
        <c:axId val="168360960"/>
        <c:scaling>
          <c:orientation val="minMax"/>
          <c:min val="-10000"/>
        </c:scaling>
        <c:delete val="0"/>
        <c:axPos val="l"/>
        <c:majorGridlines>
          <c:spPr>
            <a:ln w="3175">
              <a:solidFill>
                <a:srgbClr val="000000"/>
              </a:solidFill>
              <a:prstDash val="solid"/>
            </a:ln>
          </c:spPr>
        </c:majorGridlines>
        <c:numFmt formatCode="_(\$* #,##0_);_(\$* \(#,##0\);_(\$* &quot;-&quot;_);_(@_)"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8359424"/>
        <c:crosses val="autoZero"/>
        <c:crossBetween val="between"/>
      </c:valAx>
      <c:dateAx>
        <c:axId val="168379136"/>
        <c:scaling>
          <c:orientation val="minMax"/>
        </c:scaling>
        <c:delete val="1"/>
        <c:axPos val="b"/>
        <c:numFmt formatCode="mmm\ yyyy" sourceLinked="1"/>
        <c:majorTickMark val="out"/>
        <c:minorTickMark val="none"/>
        <c:tickLblPos val="nextTo"/>
        <c:crossAx val="168380672"/>
        <c:crosses val="autoZero"/>
        <c:auto val="1"/>
        <c:lblOffset val="100"/>
        <c:baseTimeUnit val="months"/>
      </c:dateAx>
      <c:valAx>
        <c:axId val="168380672"/>
        <c:scaling>
          <c:orientation val="minMax"/>
        </c:scaling>
        <c:delete val="0"/>
        <c:axPos val="r"/>
        <c:numFmt formatCode="#,##0"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8379136"/>
        <c:crosses val="max"/>
        <c:crossBetween val="between"/>
      </c:valAx>
      <c:dTable>
        <c:showHorzBorder val="1"/>
        <c:showVertBorder val="1"/>
        <c:showOutline val="1"/>
        <c:showKeys val="0"/>
        <c:spPr>
          <a:ln w="3175">
            <a:solidFill>
              <a:srgbClr val="000000"/>
            </a:solidFill>
            <a:prstDash val="solid"/>
          </a:ln>
        </c:spPr>
        <c:txPr>
          <a:bodyPr/>
          <a:lstStyle/>
          <a:p>
            <a:pPr rtl="0">
              <a:defRPr sz="900" b="0" i="0" u="none" strike="noStrike" baseline="0">
                <a:solidFill>
                  <a:srgbClr val="000000"/>
                </a:solidFill>
                <a:latin typeface="Arial"/>
                <a:ea typeface="Arial"/>
                <a:cs typeface="Arial"/>
              </a:defRPr>
            </a:pPr>
            <a:endParaRPr lang="en-US"/>
          </a:p>
        </c:txPr>
      </c:dTable>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25400">
          <a:noFill/>
        </a:ln>
      </c:spPr>
    </c:plotArea>
    <c:legend>
      <c:legendPos val="t"/>
      <c:layout>
        <c:manualLayout>
          <c:xMode val="edge"/>
          <c:yMode val="edge"/>
          <c:x val="0.19246589483009077"/>
          <c:y val="0.18252336896321458"/>
          <c:w val="0.64771250207240583"/>
          <c:h val="3.7209533132424095E-2"/>
        </c:manualLayout>
      </c:layout>
      <c:overlay val="0"/>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sng" strike="noStrike" baseline="0">
                <a:solidFill>
                  <a:srgbClr val="000000"/>
                </a:solidFill>
                <a:latin typeface="Arial"/>
                <a:ea typeface="Arial"/>
                <a:cs typeface="Arial"/>
              </a:defRPr>
            </a:pPr>
            <a:r>
              <a:rPr lang="en-US"/>
              <a:t>Cost per Minute Distribution</a:t>
            </a:r>
          </a:p>
        </c:rich>
      </c:tx>
      <c:layout>
        <c:manualLayout>
          <c:xMode val="edge"/>
          <c:yMode val="edge"/>
          <c:x val="0.31964483906770258"/>
          <c:y val="8.4828711256117462E-2"/>
        </c:manualLayout>
      </c:layout>
      <c:overlay val="0"/>
      <c:spPr>
        <a:noFill/>
        <a:ln w="25400">
          <a:noFill/>
        </a:ln>
      </c:spPr>
    </c:title>
    <c:autoTitleDeleted val="0"/>
    <c:view3D>
      <c:rotX val="15"/>
      <c:hPercent val="60"/>
      <c:rotY val="20"/>
      <c:depthPercent val="100"/>
      <c:rAngAx val="1"/>
    </c:view3D>
    <c:floor>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9525">
          <a:noFill/>
        </a:ln>
      </c:spPr>
    </c:floor>
    <c:side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3175">
          <a:solidFill>
            <a:srgbClr val="000000"/>
          </a:solidFill>
          <a:prstDash val="solid"/>
        </a:ln>
      </c:spPr>
    </c:sideWall>
    <c:backWall>
      <c:thickness val="0"/>
      <c:spPr>
        <a:gradFill rotWithShape="0">
          <a:gsLst>
            <a:gs pos="0">
              <a:srgbClr xmlns:mc="http://schemas.openxmlformats.org/markup-compatibility/2006" xmlns:a14="http://schemas.microsoft.com/office/drawing/2010/main" val="003366" mc:Ignorable="a14" a14:legacySpreadsheetColorIndex="56"/>
            </a:gs>
            <a:gs pos="100000">
              <a:srgbClr xmlns:mc="http://schemas.openxmlformats.org/markup-compatibility/2006" xmlns:a14="http://schemas.microsoft.com/office/drawing/2010/main" val="FFFFFF" mc:Ignorable="a14" a14:legacySpreadsheetColorIndex="9"/>
            </a:gs>
          </a:gsLst>
          <a:lin ang="2700000" scaled="1"/>
        </a:gradFill>
        <a:ln w="3175">
          <a:solidFill>
            <a:srgbClr val="000000"/>
          </a:solidFill>
          <a:prstDash val="solid"/>
        </a:ln>
      </c:spPr>
    </c:backWall>
    <c:plotArea>
      <c:layout>
        <c:manualLayout>
          <c:layoutTarget val="inner"/>
          <c:xMode val="edge"/>
          <c:yMode val="edge"/>
          <c:x val="9.9889012208657049E-2"/>
          <c:y val="0.19902120717781402"/>
          <c:w val="0.84683684794672587"/>
          <c:h val="0.69820554649265909"/>
        </c:manualLayout>
      </c:layout>
      <c:bar3DChart>
        <c:barDir val="col"/>
        <c:grouping val="clustered"/>
        <c:varyColors val="0"/>
        <c:ser>
          <c:idx val="0"/>
          <c:order val="0"/>
          <c:tx>
            <c:strRef>
              <c:f>DataSource_1!$AV$30</c:f>
              <c:strCache>
                <c:ptCount val="1"/>
                <c:pt idx="0">
                  <c:v>Num of Users</c:v>
                </c:pt>
              </c:strCache>
            </c:strRef>
          </c:tx>
          <c:spPr>
            <a:gradFill rotWithShape="0">
              <a:gsLst>
                <a:gs pos="0">
                  <a:srgbClr xmlns:mc="http://schemas.openxmlformats.org/markup-compatibility/2006" xmlns:a14="http://schemas.microsoft.com/office/drawing/2010/main" val="003B00" mc:Ignorable="a14" a14:legacySpreadsheetColorIndex="17">
                    <a:gamma/>
                    <a:shade val="46275"/>
                    <a:invGamma/>
                  </a:srgbClr>
                </a:gs>
                <a:gs pos="100000">
                  <a:srgbClr xmlns:mc="http://schemas.openxmlformats.org/markup-compatibility/2006" xmlns:a14="http://schemas.microsoft.com/office/drawing/2010/main" val="008000" mc:Ignorable="a14" a14:legacySpreadsheetColorIndex="17"/>
                </a:gs>
              </a:gsLst>
              <a:lin ang="0" scaled="1"/>
            </a:gradFill>
            <a:ln w="12700">
              <a:solidFill>
                <a:srgbClr val="000000"/>
              </a:solidFill>
              <a:prstDash val="solid"/>
            </a:ln>
          </c:spPr>
          <c:invertIfNegative val="0"/>
          <c:dLbls>
            <c:dLbl>
              <c:idx val="0"/>
              <c:layout>
                <c:manualLayout>
                  <c:x val="-1.7692708624818653E-3"/>
                  <c:y val="4.993838275905469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01-4318-A099-954E360CD363}"/>
                </c:ext>
              </c:extLst>
            </c:dLbl>
            <c:dLbl>
              <c:idx val="1"/>
              <c:layout>
                <c:manualLayout>
                  <c:x val="2.8165846638759096E-3"/>
                  <c:y val="5.243657756483532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201-4318-A099-954E360CD363}"/>
                </c:ext>
              </c:extLst>
            </c:dLbl>
            <c:dLbl>
              <c:idx val="2"/>
              <c:layout>
                <c:manualLayout>
                  <c:x val="6.6909616320157128E-3"/>
                  <c:y val="4.236143402139991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E201-4318-A099-954E360CD363}"/>
                </c:ext>
              </c:extLst>
            </c:dLbl>
            <c:dLbl>
              <c:idx val="3"/>
              <c:layout>
                <c:manualLayout>
                  <c:x val="6.1257104238218729E-3"/>
                  <c:y val="4.082619362628603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201-4318-A099-954E360CD363}"/>
                </c:ext>
              </c:extLst>
            </c:dLbl>
            <c:dLbl>
              <c:idx val="4"/>
              <c:layout>
                <c:manualLayout>
                  <c:x val="5.5605757382436449E-3"/>
                  <c:y val="4.41844035400958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01-4318-A099-954E360CD363}"/>
                </c:ext>
              </c:extLst>
            </c:dLbl>
            <c:dLbl>
              <c:idx val="5"/>
              <c:layout>
                <c:manualLayout>
                  <c:x val="3.8855631392358259E-3"/>
                  <c:y val="4.159381382384297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201-4318-A099-954E360CD363}"/>
                </c:ext>
              </c:extLst>
            </c:dLbl>
            <c:dLbl>
              <c:idx val="6"/>
              <c:layout>
                <c:manualLayout>
                  <c:x val="9.9796959342346447E-3"/>
                  <c:y val="4.58157249104057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201-4318-A099-954E360CD363}"/>
                </c:ext>
              </c:extLst>
            </c:dLbl>
            <c:dLbl>
              <c:idx val="7"/>
              <c:layout>
                <c:manualLayout>
                  <c:x val="4.9749330723226626E-3"/>
                  <c:y val="4.927052960141808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201-4318-A099-954E360CD363}"/>
                </c:ext>
              </c:extLst>
            </c:dLbl>
            <c:dLbl>
              <c:idx val="8"/>
              <c:layout>
                <c:manualLayout>
                  <c:x val="4.4462525702799339E-3"/>
                  <c:y val="5.125658133432878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E201-4318-A099-954E360CD363}"/>
                </c:ext>
              </c:extLst>
            </c:dLbl>
            <c:spPr>
              <a:noFill/>
              <a:ln w="25400">
                <a:noFill/>
              </a:ln>
            </c:spPr>
            <c:txPr>
              <a:bodyPr/>
              <a:lstStyle/>
              <a:p>
                <a:pPr>
                  <a:defRPr sz="1100" b="1" i="0" u="none" strike="noStrike" baseline="0">
                    <a:solidFill>
                      <a:schemeClr val="bg1"/>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DataSource_1!$AU$31:$AU$39</c:f>
              <c:strCache>
                <c:ptCount val="9"/>
                <c:pt idx="0">
                  <c:v>$0.01 - $0.14</c:v>
                </c:pt>
                <c:pt idx="1">
                  <c:v>$0.15 - $0.19</c:v>
                </c:pt>
                <c:pt idx="2">
                  <c:v>$0.20 - $0.24</c:v>
                </c:pt>
                <c:pt idx="3">
                  <c:v>$0.25 - $0.29</c:v>
                </c:pt>
                <c:pt idx="4">
                  <c:v>$0.30 - $0.39</c:v>
                </c:pt>
                <c:pt idx="5">
                  <c:v>$0.40 - $0.49</c:v>
                </c:pt>
                <c:pt idx="6">
                  <c:v>$0.50 - $0.99</c:v>
                </c:pt>
                <c:pt idx="7">
                  <c:v>$1.00 - $5.00</c:v>
                </c:pt>
                <c:pt idx="8">
                  <c:v>Greater than $5.00</c:v>
                </c:pt>
              </c:strCache>
            </c:strRef>
          </c:cat>
          <c:val>
            <c:numRef>
              <c:f>DataSource_1!$AV$31:$AV$39</c:f>
              <c:numCache>
                <c:formatCode>General</c:formatCode>
                <c:ptCount val="9"/>
                <c:pt idx="0">
                  <c:v>166</c:v>
                </c:pt>
                <c:pt idx="1">
                  <c:v>45</c:v>
                </c:pt>
                <c:pt idx="2">
                  <c:v>23</c:v>
                </c:pt>
                <c:pt idx="3">
                  <c:v>19</c:v>
                </c:pt>
                <c:pt idx="4">
                  <c:v>32</c:v>
                </c:pt>
                <c:pt idx="5">
                  <c:v>21</c:v>
                </c:pt>
                <c:pt idx="6">
                  <c:v>32</c:v>
                </c:pt>
                <c:pt idx="7">
                  <c:v>24</c:v>
                </c:pt>
                <c:pt idx="8">
                  <c:v>117</c:v>
                </c:pt>
              </c:numCache>
            </c:numRef>
          </c:val>
          <c:extLst>
            <c:ext xmlns:c16="http://schemas.microsoft.com/office/drawing/2014/chart" uri="{C3380CC4-5D6E-409C-BE32-E72D297353CC}">
              <c16:uniqueId val="{00000009-E201-4318-A099-954E360CD363}"/>
            </c:ext>
          </c:extLst>
        </c:ser>
        <c:dLbls>
          <c:showLegendKey val="0"/>
          <c:showVal val="1"/>
          <c:showCatName val="0"/>
          <c:showSerName val="0"/>
          <c:showPercent val="0"/>
          <c:showBubbleSize val="0"/>
        </c:dLbls>
        <c:gapWidth val="150"/>
        <c:shape val="box"/>
        <c:axId val="182503296"/>
        <c:axId val="182504832"/>
        <c:axId val="0"/>
      </c:bar3DChart>
      <c:catAx>
        <c:axId val="182503296"/>
        <c:scaling>
          <c:orientation val="minMax"/>
        </c:scaling>
        <c:delete val="0"/>
        <c:axPos val="b"/>
        <c:numFmt formatCode="General" sourceLinked="1"/>
        <c:majorTickMark val="out"/>
        <c:minorTickMark val="none"/>
        <c:tickLblPos val="low"/>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182504832"/>
        <c:crosses val="autoZero"/>
        <c:auto val="1"/>
        <c:lblAlgn val="ctr"/>
        <c:lblOffset val="100"/>
        <c:tickLblSkip val="1"/>
        <c:tickMarkSkip val="1"/>
        <c:noMultiLvlLbl val="0"/>
      </c:catAx>
      <c:valAx>
        <c:axId val="182504832"/>
        <c:scaling>
          <c:orientation val="minMax"/>
        </c:scaling>
        <c:delete val="0"/>
        <c:axPos val="l"/>
        <c:majorGridlines>
          <c:spPr>
            <a:ln w="3175">
              <a:solidFill>
                <a:srgbClr val="FFFFCC"/>
              </a:solidFill>
              <a:prstDash val="sysDash"/>
            </a:ln>
          </c:spPr>
        </c:majorGridlines>
        <c:numFmt formatCode="General" sourceLinked="1"/>
        <c:majorTickMark val="out"/>
        <c:minorTickMark val="none"/>
        <c:tickLblPos val="nextTo"/>
        <c:spPr>
          <a:ln w="9525">
            <a:noFill/>
          </a:ln>
        </c:spPr>
        <c:txPr>
          <a:bodyPr rot="0" vert="horz"/>
          <a:lstStyle/>
          <a:p>
            <a:pPr>
              <a:defRPr sz="1000" b="0" i="0" u="none" strike="noStrike" baseline="0">
                <a:solidFill>
                  <a:srgbClr val="000000"/>
                </a:solidFill>
                <a:latin typeface="Arial"/>
                <a:ea typeface="Arial"/>
                <a:cs typeface="Arial"/>
              </a:defRPr>
            </a:pPr>
            <a:endParaRPr lang="en-US"/>
          </a:p>
        </c:txPr>
        <c:crossAx val="182503296"/>
        <c:crosses val="autoZero"/>
        <c:crossBetween val="between"/>
      </c:valAx>
      <c:spPr>
        <a:noFill/>
        <a:ln w="25400">
          <a:noFill/>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userShapes r:id="rId1"/>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026211929406506"/>
          <c:y val="0.15932229760708688"/>
          <c:w val="0.42048019744050724"/>
          <c:h val="0.65423837102484605"/>
        </c:manualLayout>
      </c:layout>
      <c:pieChart>
        <c:varyColors val="1"/>
        <c:ser>
          <c:idx val="0"/>
          <c:order val="0"/>
          <c:tx>
            <c:strRef>
              <c:f>DataSource_1!$AV$41</c:f>
              <c:strCache>
                <c:ptCount val="1"/>
                <c:pt idx="0">
                  <c:v>Users</c:v>
                </c:pt>
              </c:strCache>
            </c:strRef>
          </c:tx>
          <c:spPr>
            <a:solidFill>
              <a:srgbClr val="9999FF"/>
            </a:solidFill>
            <a:ln w="12700">
              <a:solidFill>
                <a:srgbClr val="000000"/>
              </a:solidFill>
              <a:prstDash val="solid"/>
            </a:ln>
            <a:effectLst>
              <a:outerShdw dist="35921" dir="2700000" algn="br">
                <a:srgbClr val="000000"/>
              </a:outerShdw>
            </a:effectLst>
          </c:spPr>
          <c:dPt>
            <c:idx val="0"/>
            <c:bubble3D val="0"/>
            <c:spPr>
              <a:gradFill rotWithShape="0">
                <a:gsLst>
                  <a:gs pos="0">
                    <a:srgbClr xmlns:mc="http://schemas.openxmlformats.org/markup-compatibility/2006" xmlns:a14="http://schemas.microsoft.com/office/drawing/2010/main" val="760000" mc:Ignorable="a14" a14:legacySpreadsheetColorIndex="10">
                      <a:gamma/>
                      <a:shade val="46275"/>
                      <a:invGamma/>
                    </a:srgbClr>
                  </a:gs>
                  <a:gs pos="100000">
                    <a:srgbClr xmlns:mc="http://schemas.openxmlformats.org/markup-compatibility/2006" xmlns:a14="http://schemas.microsoft.com/office/drawing/2010/main" val="FF0000" mc:Ignorable="a14" a14:legacySpreadsheetColorIndex="10"/>
                  </a:gs>
                </a:gsLst>
                <a:lin ang="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1-CAC9-4B2B-BEE3-5D79B2682D1D}"/>
              </c:ext>
            </c:extLst>
          </c:dPt>
          <c:dPt>
            <c:idx val="1"/>
            <c:bubble3D val="0"/>
            <c:explosion val="13"/>
            <c:spPr>
              <a:gradFill rotWithShape="0">
                <a:gsLst>
                  <a:gs pos="0">
                    <a:srgbClr xmlns:mc="http://schemas.openxmlformats.org/markup-compatibility/2006" xmlns:a14="http://schemas.microsoft.com/office/drawing/2010/main" val="001800" mc:Ignorable="a14" a14:legacySpreadsheetColorIndex="58">
                      <a:gamma/>
                      <a:shade val="46275"/>
                      <a:invGamma/>
                    </a:srgbClr>
                  </a:gs>
                  <a:gs pos="100000">
                    <a:srgbClr xmlns:mc="http://schemas.openxmlformats.org/markup-compatibility/2006" xmlns:a14="http://schemas.microsoft.com/office/drawing/2010/main" val="003300" mc:Ignorable="a14" a14:legacySpreadsheetColorIndex="58"/>
                  </a:gs>
                </a:gsLst>
                <a:lin ang="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3-CAC9-4B2B-BEE3-5D79B2682D1D}"/>
              </c:ext>
            </c:extLst>
          </c:dPt>
          <c:dPt>
            <c:idx val="2"/>
            <c:bubble3D val="0"/>
            <c:explosion val="12"/>
            <c:spPr>
              <a:gradFill rotWithShape="0">
                <a:gsLst>
                  <a:gs pos="0">
                    <a:srgbClr xmlns:mc="http://schemas.openxmlformats.org/markup-compatibility/2006" xmlns:a14="http://schemas.microsoft.com/office/drawing/2010/main" val="0000FF" mc:Ignorable="a14" a14:legacySpreadsheetColorIndex="12"/>
                  </a:gs>
                  <a:gs pos="100000">
                    <a:srgbClr xmlns:mc="http://schemas.openxmlformats.org/markup-compatibility/2006" xmlns:a14="http://schemas.microsoft.com/office/drawing/2010/main" val="4343FF" mc:Ignorable="a14" a14:legacySpreadsheetColorIndex="12">
                      <a:gamma/>
                      <a:tint val="73725"/>
                      <a:invGamma/>
                    </a:srgbClr>
                  </a:gs>
                </a:gsLst>
                <a:lin ang="0" scaled="1"/>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5-CAC9-4B2B-BEE3-5D79B2682D1D}"/>
              </c:ext>
            </c:extLst>
          </c:dPt>
          <c:dPt>
            <c:idx val="3"/>
            <c:bubble3D val="0"/>
            <c:spPr>
              <a:gradFill rotWithShape="0">
                <a:gsLst>
                  <a:gs pos="0">
                    <a:srgbClr xmlns:mc="http://schemas.openxmlformats.org/markup-compatibility/2006" xmlns:a14="http://schemas.microsoft.com/office/drawing/2010/main" val="FFFFFF" mc:Ignorable="a14" a14:legacySpreadsheetColorIndex="10">
                      <a:gamma/>
                      <a:tint val="0"/>
                      <a:invGamma/>
                    </a:srgbClr>
                  </a:gs>
                  <a:gs pos="100000">
                    <a:srgbClr xmlns:mc="http://schemas.openxmlformats.org/markup-compatibility/2006" xmlns:a14="http://schemas.microsoft.com/office/drawing/2010/main" val="FF0000" mc:Ignorable="a14" a14:legacySpreadsheetColorIndex="10"/>
                  </a:gs>
                </a:gsLst>
                <a:path path="rect">
                  <a:fillToRect l="50000" t="50000" r="50000" b="50000"/>
                </a:path>
              </a:gradFill>
              <a:ln w="12700">
                <a:solidFill>
                  <a:srgbClr val="000000"/>
                </a:solidFill>
                <a:prstDash val="solid"/>
              </a:ln>
              <a:effectLst>
                <a:outerShdw dist="35921" dir="2700000" algn="br">
                  <a:srgbClr val="000000"/>
                </a:outerShdw>
              </a:effectLst>
            </c:spPr>
            <c:extLst>
              <c:ext xmlns:c16="http://schemas.microsoft.com/office/drawing/2014/chart" uri="{C3380CC4-5D6E-409C-BE32-E72D297353CC}">
                <c16:uniqueId val="{00000007-CAC9-4B2B-BEE3-5D79B2682D1D}"/>
              </c:ext>
            </c:extLst>
          </c:dPt>
          <c:dLbls>
            <c:dLbl>
              <c:idx val="3"/>
              <c:layout>
                <c:manualLayout>
                  <c:x val="8.9561353901550511E-3"/>
                  <c:y val="-1.5384231193806164E-2"/>
                </c:manualLayout>
              </c:layout>
              <c:tx>
                <c:rich>
                  <a:bodyPr/>
                  <a:lstStyle/>
                  <a:p>
                    <a:fld id="{A8499304-237F-4007-A0B4-991322FEE90C}" type="CATEGORYNAME">
                      <a:rPr lang="en-US">
                        <a:solidFill>
                          <a:sysClr val="windowText" lastClr="000000"/>
                        </a:solidFill>
                      </a:rPr>
                      <a:pPr/>
                      <a:t>[CATEGORY NAME]</a:t>
                    </a:fld>
                    <a:r>
                      <a:rPr lang="en-US" baseline="0">
                        <a:solidFill>
                          <a:sysClr val="windowText" lastClr="000000"/>
                        </a:solidFill>
                      </a:rPr>
                      <a:t>
</a:t>
                    </a:r>
                    <a:fld id="{86F7D312-C45F-41B2-ADF9-001B712DA5A7}" type="PERCENTAGE">
                      <a:rPr lang="en-US" baseline="0">
                        <a:solidFill>
                          <a:sysClr val="windowText" lastClr="000000"/>
                        </a:solidFill>
                      </a:rPr>
                      <a:pPr/>
                      <a:t>[PERCENTAGE]</a:t>
                    </a:fld>
                    <a:endParaRPr lang="en-US" baseline="0">
                      <a:solidFill>
                        <a:sysClr val="windowText" lastClr="000000"/>
                      </a:solidFill>
                    </a:endParaRPr>
                  </a:p>
                </c:rich>
              </c:tx>
              <c:dLblPos val="bestFit"/>
              <c:showLegendKey val="0"/>
              <c:showVal val="0"/>
              <c:showCatName val="1"/>
              <c:showSerName val="0"/>
              <c:showPercent val="1"/>
              <c:showBubbleSize val="0"/>
              <c:separator>
</c:separator>
              <c:extLst>
                <c:ext xmlns:c15="http://schemas.microsoft.com/office/drawing/2012/chart" uri="{CE6537A1-D6FC-4f65-9D91-7224C49458BB}">
                  <c15:dlblFieldTable/>
                  <c15:showDataLabelsRange val="0"/>
                </c:ext>
                <c:ext xmlns:c16="http://schemas.microsoft.com/office/drawing/2014/chart" uri="{C3380CC4-5D6E-409C-BE32-E72D297353CC}">
                  <c16:uniqueId val="{00000007-CAC9-4B2B-BEE3-5D79B2682D1D}"/>
                </c:ext>
              </c:extLst>
            </c:dLbl>
            <c:numFmt formatCode="0%" sourceLinked="0"/>
            <c:spPr>
              <a:noFill/>
              <a:ln w="25400">
                <a:noFill/>
              </a:ln>
            </c:spPr>
            <c:txPr>
              <a:bodyPr/>
              <a:lstStyle/>
              <a:p>
                <a:pPr>
                  <a:defRPr sz="1000" b="1" i="0" u="none" strike="noStrike" baseline="0">
                    <a:solidFill>
                      <a:schemeClr val="bg1"/>
                    </a:solidFill>
                    <a:latin typeface="Arial"/>
                    <a:ea typeface="Arial"/>
                    <a:cs typeface="Arial"/>
                  </a:defRPr>
                </a:pPr>
                <a:endParaRPr lang="en-US"/>
              </a:p>
            </c:txPr>
            <c:dLblPos val="bestFit"/>
            <c:showLegendKey val="0"/>
            <c:showVal val="0"/>
            <c:showCatName val="1"/>
            <c:showSerName val="0"/>
            <c:showPercent val="1"/>
            <c:showBubbleSize val="0"/>
            <c:separator>
</c:separator>
            <c:showLeaderLines val="1"/>
            <c:extLst>
              <c:ext xmlns:c15="http://schemas.microsoft.com/office/drawing/2012/chart" uri="{CE6537A1-D6FC-4f65-9D91-7224C49458BB}"/>
            </c:extLst>
          </c:dLbls>
          <c:cat>
            <c:strRef>
              <c:f>DataSource_1!$AU$42:$AU$45</c:f>
              <c:strCache>
                <c:ptCount val="4"/>
                <c:pt idx="0">
                  <c:v>Greater than $5.00</c:v>
                </c:pt>
                <c:pt idx="1">
                  <c:v>19¢ and Less</c:v>
                </c:pt>
                <c:pt idx="2">
                  <c:v>20¢ to 99¢</c:v>
                </c:pt>
                <c:pt idx="3">
                  <c:v>$1.00 - $5.00</c:v>
                </c:pt>
              </c:strCache>
            </c:strRef>
          </c:cat>
          <c:val>
            <c:numRef>
              <c:f>DataSource_1!$AV$42:$AV$45</c:f>
              <c:numCache>
                <c:formatCode>General</c:formatCode>
                <c:ptCount val="4"/>
                <c:pt idx="0">
                  <c:v>117</c:v>
                </c:pt>
                <c:pt idx="1">
                  <c:v>211</c:v>
                </c:pt>
                <c:pt idx="2">
                  <c:v>127</c:v>
                </c:pt>
                <c:pt idx="3">
                  <c:v>24</c:v>
                </c:pt>
              </c:numCache>
            </c:numRef>
          </c:val>
          <c:extLst>
            <c:ext xmlns:c16="http://schemas.microsoft.com/office/drawing/2014/chart" uri="{C3380CC4-5D6E-409C-BE32-E72D297353CC}">
              <c16:uniqueId val="{00000008-CAC9-4B2B-BEE3-5D79B2682D1D}"/>
            </c:ext>
          </c:extLst>
        </c:ser>
        <c:dLbls>
          <c:showLegendKey val="1"/>
          <c:showVal val="0"/>
          <c:showCatName val="1"/>
          <c:showSerName val="0"/>
          <c:showPercent val="1"/>
          <c:showBubbleSize val="0"/>
          <c:showLeaderLines val="1"/>
        </c:dLbls>
        <c:firstSliceAng val="120"/>
      </c:pieChart>
      <c:spPr>
        <a:noFill/>
        <a:ln w="25400">
          <a:noFill/>
        </a:ln>
      </c:spPr>
    </c:plotArea>
    <c:plotVisOnly val="1"/>
    <c:dispBlanksAs val="zero"/>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chart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1.xml"/><Relationship Id="rId1" Type="http://schemas.openxmlformats.org/officeDocument/2006/relationships/printerSettings" Target="../printerSettings/printerSettings5.bin"/></Relationships>
</file>

<file path=xl/chartsheets/_rels/sheet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6.bin"/></Relationships>
</file>

<file path=xl/chartsheets/_rels/sheet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chartsheets/_rels/sheet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8.bin"/></Relationships>
</file>

<file path=xl/chartsheets/_rels/sheet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9.bin"/></Relationships>
</file>

<file path=xl/chartsheets/_rels/sheet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chartsheets/_rels/sheet1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1.bin"/></Relationships>
</file>

<file path=xl/chart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2.bin"/></Relationships>
</file>

<file path=xl/chartsheets/_rels/sheet1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13.bin"/></Relationships>
</file>

<file path=xl/chartsheets/_rels/sheet1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14.bin"/></Relationships>
</file>

<file path=xl/chartsheets/_rels/sheet14.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15.bin"/></Relationships>
</file>

<file path=xl/chartsheets/_rels/sheet1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6.bin"/></Relationships>
</file>

<file path=xl/chartsheets/_rels/sheet1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7.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8F57635-9941-4378-8BB3-ED9492627F96}">
  <sheetPr codeName="Chart14"/>
  <sheetViews>
    <sheetView zoomScale="80" workbookViewId="0"/>
  </sheetViews>
  <pageMargins left="0.5" right="0.5" top="0.5" bottom="0.5" header="0.25" footer="0.25"/>
  <pageSetup orientation="landscape" r:id="rId1"/>
  <headerFooter alignWithMargins="0">
    <oddFooter>&amp;LPrepared by Mobile Enterprises, Inc.&amp;C&amp;D&amp;RPage &amp;P of &amp;N</oddFooter>
  </headerFooter>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D4A717B-707C-4C5A-AD44-62A8BF432209}">
  <sheetPr codeName="Chart15"/>
  <sheetViews>
    <sheetView zoomScale="80" workbookViewId="0"/>
  </sheetViews>
  <pageMargins left="0.25" right="0.25" top="0.25" bottom="0.5" header="0.2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C2FF9648-A420-40F1-B61B-28703F65058A}">
  <sheetPr codeName="Chart2"/>
  <sheetViews>
    <sheetView zoomScale="80" workbookViewId="0"/>
  </sheetViews>
  <pageMargins left="0.5" right="0.5" top="0.5" bottom="0.5" header="0.5" footer="0.5"/>
  <pageSetup orientation="landscape" r:id="rId1"/>
  <headerFooter alignWithMargins="0"/>
  <drawing r:id="rId2"/>
</chartsheet>
</file>

<file path=xl/chartsheets/sheet4.xml><?xml version="1.0" encoding="utf-8"?>
<chart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r="http://schemas.microsoft.com/office/spreadsheetml/2014/revision" xmlns:xr3="http://schemas.microsoft.com/office/spreadsheetml/2016/revision3" mc:Ignorable="xr xr3" xr:uid="{E58D4B12-2D35-44BF-A2F4-D0602EA788AA}">
  <sheetPr codeName="Chart3"/>
  <sheetViews>
    <sheetView zoomScale="80" workbookViewId="0"/>
  </sheetViews>
  <pageMargins left="0.75" right="0.75" top="1" bottom="1" header="0.5" footer="0.5"/>
  <pageSetup orientation="landscape" r:id="rId1"/>
  <headerFooter alignWithMargins="0"/>
  <drawing r:id="rId2"/>
  <legacyDrawing r:id="rId3"/>
</chartsheet>
</file>

<file path=xl/chartsheets/sheet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586544BD-FFE4-4D9B-86FB-81D7313FF012}">
  <sheetPr codeName="Chart8"/>
  <sheetViews>
    <sheetView zoomScale="80" workbookViewId="0"/>
  </sheetViews>
  <pageMargins left="0.75" right="0.75" top="1" bottom="1" header="0.5" footer="0.5"/>
  <pageSetup orientation="landscape" r:id="rId1"/>
  <headerFooter alignWithMargins="0"/>
  <drawing r:id="rId2"/>
</chartsheet>
</file>

<file path=xl/chartsheets/sheet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38F07195-EDAF-4419-88B1-FCE3795244F7}">
  <sheetPr codeName="Chart4"/>
  <sheetViews>
    <sheetView zoomScale="80" workbookViewId="0"/>
  </sheetViews>
  <pageMargins left="0.75" right="0.75" top="1" bottom="1" header="0.5" footer="0.5"/>
  <pageSetup orientation="landscape" r:id="rId1"/>
  <headerFooter alignWithMargins="0"/>
  <drawing r:id="rId2"/>
</chartsheet>
</file>

<file path=xl/chartsheets/sheet7.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79CFDD8-F3C5-4942-AF47-BCFF28FFE902}">
  <sheetPr codeName="Chart11"/>
  <sheetViews>
    <sheetView zoomScale="80" workbookViewId="0"/>
  </sheetViews>
  <pageMargins left="0.75" right="0.75" top="1" bottom="1" header="0.5" footer="0.5"/>
  <pageSetup orientation="landscape" r:id="rId1"/>
  <headerFooter alignWithMargins="0"/>
  <drawing r:id="rId2"/>
</chartsheet>
</file>

<file path=xl/chartsheets/sheet8.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169E3CB-4DA0-4785-8BD5-431A6D5F14B1}">
  <sheetPr codeName="Chart10"/>
  <sheetViews>
    <sheetView zoomScale="80" workbookViewId="0"/>
  </sheetViews>
  <pageMargins left="0.75" right="0.75" top="1" bottom="1" header="0.5" footer="0.5"/>
  <pageSetup orientation="landscape" r:id="rId1"/>
  <headerFooter alignWithMargins="0"/>
  <drawing r:id="rId2"/>
</chartsheet>
</file>

<file path=xl/chartsheets/sheet9.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1702E631-9941-4C02-B571-CBFF8916F60D}">
  <sheetPr codeName="Chart19"/>
  <sheetViews>
    <sheetView zoomScale="80" workbookViewId="0"/>
  </sheetViews>
  <pageMargins left="0.75" right="0.75" top="1" bottom="1" header="0.5" footer="0.5"/>
  <pageSetup orientation="landscape" r:id="rId1"/>
  <headerFooter alignWithMargins="0"/>
  <drawing r:id="rId2"/>
</chartsheet>
</file>

<file path=xl/chartsheets/sheet10.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F9974F1-A34C-4C91-9BD3-636EE5A2AFE1}">
  <sheetPr codeName="Chart6"/>
  <sheetViews>
    <sheetView zoomScale="80" workbookViewId="0"/>
  </sheetViews>
  <pageMargins left="0.75" right="0.75" top="1" bottom="1" header="0.5" footer="0.5"/>
  <pageSetup orientation="landscape" r:id="rId1"/>
  <headerFooter alignWithMargins="0"/>
  <drawing r:id="rId2"/>
</chartsheet>
</file>

<file path=xl/chartsheets/sheet1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FCCE813-B455-4B2D-AD20-42E82C8252DB}">
  <sheetPr codeName="Chart1"/>
  <sheetViews>
    <sheetView zoomScale="80" workbookViewId="0"/>
  </sheetViews>
  <pageMargins left="0.75" right="0.75" top="1" bottom="1" header="0.5" footer="0.5"/>
  <pageSetup orientation="landscape" r:id="rId1"/>
  <headerFooter alignWithMargins="0"/>
  <drawing r:id="rId2"/>
</chartsheet>
</file>

<file path=xl/chartsheets/sheet1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F0A4778-EBD1-43CB-9FD8-01E6FCCA34A2}">
  <sheetPr codeName="Chart7"/>
  <sheetViews>
    <sheetView zoomScale="80" workbookViewId="0"/>
  </sheetViews>
  <pageMargins left="0.75" right="0.75" top="1" bottom="1" header="0.5" footer="0.5"/>
  <pageSetup orientation="landscape" r:id="rId1"/>
  <headerFooter alignWithMargins="0"/>
  <drawing r:id="rId2"/>
</chartsheet>
</file>

<file path=xl/chartsheets/sheet1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ADB27A-B2A2-4700-A0B2-DD6B0F6257CC}">
  <sheetPr codeName="Chart5"/>
  <sheetViews>
    <sheetView zoomScale="80" workbookViewId="0"/>
  </sheetViews>
  <pageMargins left="0.75" right="0.75" top="1" bottom="1" header="0.5" footer="0.5"/>
  <pageSetup orientation="landscape" r:id="rId1"/>
  <headerFooter alignWithMargins="0"/>
  <drawing r:id="rId2"/>
</chartsheet>
</file>

<file path=xl/chartsheets/sheet14.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D855EC5E-FBB8-4F1A-B7CD-794AF98F6314}">
  <sheetPr codeName="Chart13"/>
  <sheetViews>
    <sheetView zoomScale="80" workbookViewId="0"/>
  </sheetViews>
  <pageMargins left="0.75" right="0.75" top="1" bottom="1" header="0.5" footer="0.5"/>
  <pageSetup orientation="landscape" r:id="rId1"/>
  <headerFooter alignWithMargins="0"/>
  <drawing r:id="rId2"/>
</chartsheet>
</file>

<file path=xl/chartsheets/sheet15.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BC53CB98-34D1-45D9-B184-BC74F2F333C7}">
  <sheetPr codeName="Chart12"/>
  <sheetViews>
    <sheetView zoomScale="80" workbookViewId="0"/>
  </sheetViews>
  <pageMargins left="0.75" right="0.75" top="1" bottom="1" header="0.5" footer="0.5"/>
  <pageSetup orientation="landscape" r:id="rId1"/>
  <headerFooter alignWithMargins="0"/>
  <drawing r:id="rId2"/>
</chartsheet>
</file>

<file path=xl/chartsheets/sheet16.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F2C6EEF9-75CC-4060-BB9B-FA9971B1D00A}">
  <sheetPr codeName="Chart16"/>
  <sheetViews>
    <sheetView zoomScale="80" workbookViewId="0"/>
  </sheetViews>
  <pageMargins left="0.75" right="0.75" top="1" bottom="1" header="0.5" footer="0.5"/>
  <pageSetup orientation="landscape" r:id="rId1"/>
  <headerFooter alignWithMargins="0"/>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8" Type="http://schemas.openxmlformats.org/officeDocument/2006/relationships/image" Target="../media/image8.jpeg"/><Relationship Id="rId13" Type="http://schemas.openxmlformats.org/officeDocument/2006/relationships/image" Target="../media/image13.jpeg"/><Relationship Id="rId18" Type="http://schemas.openxmlformats.org/officeDocument/2006/relationships/image" Target="../media/image18.png"/><Relationship Id="rId3" Type="http://schemas.openxmlformats.org/officeDocument/2006/relationships/image" Target="../media/image3.jpeg"/><Relationship Id="rId7" Type="http://schemas.openxmlformats.org/officeDocument/2006/relationships/image" Target="../media/image7.jpe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1" Type="http://schemas.openxmlformats.org/officeDocument/2006/relationships/image" Target="../media/image1.jpe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jpeg"/><Relationship Id="rId19" Type="http://schemas.openxmlformats.org/officeDocument/2006/relationships/image" Target="../media/image19.png"/><Relationship Id="rId4" Type="http://schemas.openxmlformats.org/officeDocument/2006/relationships/image" Target="../media/image4.jpeg"/><Relationship Id="rId9" Type="http://schemas.openxmlformats.org/officeDocument/2006/relationships/image" Target="../media/image9.jpeg"/><Relationship Id="rId14" Type="http://schemas.openxmlformats.org/officeDocument/2006/relationships/image" Target="../media/image14.jpeg"/></Relationships>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2.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4.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1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6.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1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8.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1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20.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21.xml.rels><?xml version="1.0" encoding="UTF-8" standalone="yes"?>
<Relationships xmlns="http://schemas.openxmlformats.org/package/2006/relationships"><Relationship Id="rId1" Type="http://schemas.openxmlformats.org/officeDocument/2006/relationships/chart" Target="../charts/chart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2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2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26.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2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28.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29.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31.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32.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33.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34.xml.rels><?xml version="1.0" encoding="UTF-8" standalone="yes"?>
<Relationships xmlns="http://schemas.openxmlformats.org/package/2006/relationships"><Relationship Id="rId3" Type="http://schemas.openxmlformats.org/officeDocument/2006/relationships/image" Target="../media/image23.png"/><Relationship Id="rId7" Type="http://schemas.openxmlformats.org/officeDocument/2006/relationships/image" Target="../media/image25.png"/><Relationship Id="rId2" Type="http://schemas.openxmlformats.org/officeDocument/2006/relationships/image" Target="../media/image22.png"/><Relationship Id="rId1" Type="http://schemas.openxmlformats.org/officeDocument/2006/relationships/image" Target="../media/image21.png"/><Relationship Id="rId6" Type="http://schemas.openxmlformats.org/officeDocument/2006/relationships/image" Target="../media/image19.png"/><Relationship Id="rId5" Type="http://schemas.openxmlformats.org/officeDocument/2006/relationships/image" Target="../media/image18.png"/><Relationship Id="rId4" Type="http://schemas.openxmlformats.org/officeDocument/2006/relationships/image" Target="../media/image24.png"/></Relationships>
</file>

<file path=xl/drawings/_rels/drawing35.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36.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image" Target="../media/image22.png"/><Relationship Id="rId7" Type="http://schemas.openxmlformats.org/officeDocument/2006/relationships/image" Target="../media/image19.png"/><Relationship Id="rId2" Type="http://schemas.openxmlformats.org/officeDocument/2006/relationships/image" Target="../media/image21.png"/><Relationship Id="rId1" Type="http://schemas.openxmlformats.org/officeDocument/2006/relationships/chart" Target="../charts/chart17.xml"/><Relationship Id="rId6" Type="http://schemas.openxmlformats.org/officeDocument/2006/relationships/image" Target="../media/image18.png"/><Relationship Id="rId5" Type="http://schemas.openxmlformats.org/officeDocument/2006/relationships/image" Target="../media/image24.png"/><Relationship Id="rId4" Type="http://schemas.openxmlformats.org/officeDocument/2006/relationships/image" Target="../media/image2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8</xdr:col>
      <xdr:colOff>176894</xdr:colOff>
      <xdr:row>2</xdr:row>
      <xdr:rowOff>59717</xdr:rowOff>
    </xdr:to>
    <xdr:sp macro="" textlink="">
      <xdr:nvSpPr>
        <xdr:cNvPr id="2" name="TextBox 3">
          <a:extLst>
            <a:ext uri="{FF2B5EF4-FFF2-40B4-BE49-F238E27FC236}">
              <a16:creationId xmlns:a16="http://schemas.microsoft.com/office/drawing/2014/main" id="{00000000-0008-0000-0000-000002000000}"/>
            </a:ext>
          </a:extLst>
        </xdr:cNvPr>
        <xdr:cNvSpPr txBox="1"/>
      </xdr:nvSpPr>
      <xdr:spPr>
        <a:xfrm>
          <a:off x="3660321" y="0"/>
          <a:ext cx="2748644" cy="549574"/>
        </a:xfrm>
        <a:prstGeom prst="rect">
          <a:avLst/>
        </a:prstGeom>
        <a:solidFill>
          <a:sysClr val="window" lastClr="FFFFFF"/>
        </a:solidFill>
        <a:ln w="19050">
          <a:solidFill>
            <a:schemeClr val="accent1"/>
          </a:solidFill>
        </a:ln>
      </xdr:spPr>
      <xdr:txBody>
        <a:bodyPr wrap="square" tIns="18288" bIns="0" rtlCol="0">
          <a:spAutoFit/>
        </a:bodyPr>
        <a:lstStyle>
          <a:defPPr>
            <a:defRPr lang="en-US"/>
          </a:defPPr>
          <a:lvl1pPr algn="l" rtl="0" fontAlgn="base">
            <a:spcBef>
              <a:spcPct val="0"/>
            </a:spcBef>
            <a:spcAft>
              <a:spcPct val="0"/>
            </a:spcAft>
            <a:defRPr sz="2400" kern="1200">
              <a:solidFill>
                <a:schemeClr val="tx1"/>
              </a:solidFill>
              <a:latin typeface="Times New Roman" panose="02020603050405020304" pitchFamily="18" charset="0"/>
              <a:ea typeface="+mn-ea"/>
              <a:cs typeface="+mn-cs"/>
            </a:defRPr>
          </a:lvl1pPr>
          <a:lvl2pPr marL="457200" algn="l" rtl="0" fontAlgn="base">
            <a:spcBef>
              <a:spcPct val="0"/>
            </a:spcBef>
            <a:spcAft>
              <a:spcPct val="0"/>
            </a:spcAft>
            <a:defRPr sz="2400" kern="1200">
              <a:solidFill>
                <a:schemeClr val="tx1"/>
              </a:solidFill>
              <a:latin typeface="Times New Roman" panose="02020603050405020304" pitchFamily="18" charset="0"/>
              <a:ea typeface="+mn-ea"/>
              <a:cs typeface="+mn-cs"/>
            </a:defRPr>
          </a:lvl2pPr>
          <a:lvl3pPr marL="914400" algn="l" rtl="0" fontAlgn="base">
            <a:spcBef>
              <a:spcPct val="0"/>
            </a:spcBef>
            <a:spcAft>
              <a:spcPct val="0"/>
            </a:spcAft>
            <a:defRPr sz="2400" kern="1200">
              <a:solidFill>
                <a:schemeClr val="tx1"/>
              </a:solidFill>
              <a:latin typeface="Times New Roman" panose="02020603050405020304" pitchFamily="18" charset="0"/>
              <a:ea typeface="+mn-ea"/>
              <a:cs typeface="+mn-cs"/>
            </a:defRPr>
          </a:lvl3pPr>
          <a:lvl4pPr marL="1371600" algn="l" rtl="0" fontAlgn="base">
            <a:spcBef>
              <a:spcPct val="0"/>
            </a:spcBef>
            <a:spcAft>
              <a:spcPct val="0"/>
            </a:spcAft>
            <a:defRPr sz="2400" kern="1200">
              <a:solidFill>
                <a:schemeClr val="tx1"/>
              </a:solidFill>
              <a:latin typeface="Times New Roman" panose="02020603050405020304" pitchFamily="18" charset="0"/>
              <a:ea typeface="+mn-ea"/>
              <a:cs typeface="+mn-cs"/>
            </a:defRPr>
          </a:lvl4pPr>
          <a:lvl5pPr marL="1828800" algn="l" rtl="0" fontAlgn="base">
            <a:spcBef>
              <a:spcPct val="0"/>
            </a:spcBef>
            <a:spcAft>
              <a:spcPct val="0"/>
            </a:spcAft>
            <a:defRPr sz="2400" kern="1200">
              <a:solidFill>
                <a:schemeClr val="tx1"/>
              </a:solidFill>
              <a:latin typeface="Times New Roman" panose="02020603050405020304" pitchFamily="18" charset="0"/>
              <a:ea typeface="+mn-ea"/>
              <a:cs typeface="+mn-cs"/>
            </a:defRPr>
          </a:lvl5pPr>
          <a:lvl6pPr marL="2286000" algn="l" defTabSz="914400" rtl="0" eaLnBrk="1" latinLnBrk="0" hangingPunct="1">
            <a:defRPr sz="2400" kern="1200">
              <a:solidFill>
                <a:schemeClr val="tx1"/>
              </a:solidFill>
              <a:latin typeface="Times New Roman" panose="02020603050405020304" pitchFamily="18" charset="0"/>
              <a:ea typeface="+mn-ea"/>
              <a:cs typeface="+mn-cs"/>
            </a:defRPr>
          </a:lvl6pPr>
          <a:lvl7pPr marL="2743200" algn="l" defTabSz="914400" rtl="0" eaLnBrk="1" latinLnBrk="0" hangingPunct="1">
            <a:defRPr sz="2400" kern="1200">
              <a:solidFill>
                <a:schemeClr val="tx1"/>
              </a:solidFill>
              <a:latin typeface="Times New Roman" panose="02020603050405020304" pitchFamily="18" charset="0"/>
              <a:ea typeface="+mn-ea"/>
              <a:cs typeface="+mn-cs"/>
            </a:defRPr>
          </a:lvl7pPr>
          <a:lvl8pPr marL="3200400" algn="l" defTabSz="914400" rtl="0" eaLnBrk="1" latinLnBrk="0" hangingPunct="1">
            <a:defRPr sz="2400" kern="1200">
              <a:solidFill>
                <a:schemeClr val="tx1"/>
              </a:solidFill>
              <a:latin typeface="Times New Roman" panose="02020603050405020304" pitchFamily="18" charset="0"/>
              <a:ea typeface="+mn-ea"/>
              <a:cs typeface="+mn-cs"/>
            </a:defRPr>
          </a:lvl8pPr>
          <a:lvl9pPr marL="3657600" algn="l" defTabSz="914400" rtl="0" eaLnBrk="1" latinLnBrk="0" hangingPunct="1">
            <a:defRPr sz="2400" kern="1200">
              <a:solidFill>
                <a:schemeClr val="tx1"/>
              </a:solidFill>
              <a:latin typeface="Times New Roman" panose="02020603050405020304" pitchFamily="18" charset="0"/>
              <a:ea typeface="+mn-ea"/>
              <a:cs typeface="+mn-cs"/>
            </a:defRPr>
          </a:lvl9pPr>
        </a:lstStyle>
        <a:p>
          <a:r>
            <a:rPr lang="en-US" sz="1200">
              <a:solidFill>
                <a:schemeClr val="accent1"/>
              </a:solidFill>
              <a:latin typeface="Arial" panose="020B0604020202020204" pitchFamily="34" charset="0"/>
              <a:cs typeface="Arial" panose="020B0604020202020204" pitchFamily="34" charset="0"/>
            </a:rPr>
            <a:t>Hire Richard Sweeny!</a:t>
          </a:r>
        </a:p>
        <a:p>
          <a:r>
            <a:rPr lang="en-US" sz="1200">
              <a:solidFill>
                <a:schemeClr val="accent1"/>
              </a:solidFill>
              <a:latin typeface="Arial" panose="020B0604020202020204" pitchFamily="34" charset="0"/>
              <a:cs typeface="Arial" panose="020B0604020202020204" pitchFamily="34" charset="0"/>
            </a:rPr>
            <a:t>RichSweeny@SweenyWasHere.com</a:t>
          </a:r>
        </a:p>
        <a:p>
          <a:r>
            <a:rPr lang="en-US" sz="1200">
              <a:solidFill>
                <a:schemeClr val="accent1"/>
              </a:solidFill>
              <a:latin typeface="Arial" panose="020B0604020202020204" pitchFamily="34" charset="0"/>
              <a:cs typeface="Arial" panose="020B0604020202020204" pitchFamily="34" charset="0"/>
            </a:rPr>
            <a:t>516-359-6454</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0</xdr:colOff>
      <xdr:row>0</xdr:row>
      <xdr:rowOff>0</xdr:rowOff>
    </xdr:from>
    <xdr:to>
      <xdr:col>7</xdr:col>
      <xdr:colOff>830037</xdr:colOff>
      <xdr:row>2</xdr:row>
      <xdr:rowOff>59717</xdr:rowOff>
    </xdr:to>
    <xdr:sp macro="" textlink="">
      <xdr:nvSpPr>
        <xdr:cNvPr id="2" name="TextBox 3">
          <a:extLst>
            <a:ext uri="{FF2B5EF4-FFF2-40B4-BE49-F238E27FC236}">
              <a16:creationId xmlns:a16="http://schemas.microsoft.com/office/drawing/2014/main" id="{00000000-0008-0000-0100-000002000000}"/>
            </a:ext>
          </a:extLst>
        </xdr:cNvPr>
        <xdr:cNvSpPr txBox="1"/>
      </xdr:nvSpPr>
      <xdr:spPr>
        <a:xfrm>
          <a:off x="3810000" y="0"/>
          <a:ext cx="2748644" cy="549574"/>
        </a:xfrm>
        <a:prstGeom prst="rect">
          <a:avLst/>
        </a:prstGeom>
        <a:solidFill>
          <a:sysClr val="window" lastClr="FFFFFF"/>
        </a:solidFill>
        <a:ln w="19050">
          <a:solidFill>
            <a:schemeClr val="accent1"/>
          </a:solidFill>
        </a:ln>
      </xdr:spPr>
      <xdr:txBody>
        <a:bodyPr wrap="square" tIns="18288" bIns="0" rtlCol="0">
          <a:spAutoFit/>
        </a:bodyPr>
        <a:lstStyle>
          <a:defPPr>
            <a:defRPr lang="en-US"/>
          </a:defPPr>
          <a:lvl1pPr algn="l" rtl="0" fontAlgn="base">
            <a:spcBef>
              <a:spcPct val="0"/>
            </a:spcBef>
            <a:spcAft>
              <a:spcPct val="0"/>
            </a:spcAft>
            <a:defRPr sz="2400" kern="1200">
              <a:solidFill>
                <a:schemeClr val="tx1"/>
              </a:solidFill>
              <a:latin typeface="Times New Roman" panose="02020603050405020304" pitchFamily="18" charset="0"/>
              <a:ea typeface="+mn-ea"/>
              <a:cs typeface="+mn-cs"/>
            </a:defRPr>
          </a:lvl1pPr>
          <a:lvl2pPr marL="457200" algn="l" rtl="0" fontAlgn="base">
            <a:spcBef>
              <a:spcPct val="0"/>
            </a:spcBef>
            <a:spcAft>
              <a:spcPct val="0"/>
            </a:spcAft>
            <a:defRPr sz="2400" kern="1200">
              <a:solidFill>
                <a:schemeClr val="tx1"/>
              </a:solidFill>
              <a:latin typeface="Times New Roman" panose="02020603050405020304" pitchFamily="18" charset="0"/>
              <a:ea typeface="+mn-ea"/>
              <a:cs typeface="+mn-cs"/>
            </a:defRPr>
          </a:lvl2pPr>
          <a:lvl3pPr marL="914400" algn="l" rtl="0" fontAlgn="base">
            <a:spcBef>
              <a:spcPct val="0"/>
            </a:spcBef>
            <a:spcAft>
              <a:spcPct val="0"/>
            </a:spcAft>
            <a:defRPr sz="2400" kern="1200">
              <a:solidFill>
                <a:schemeClr val="tx1"/>
              </a:solidFill>
              <a:latin typeface="Times New Roman" panose="02020603050405020304" pitchFamily="18" charset="0"/>
              <a:ea typeface="+mn-ea"/>
              <a:cs typeface="+mn-cs"/>
            </a:defRPr>
          </a:lvl3pPr>
          <a:lvl4pPr marL="1371600" algn="l" rtl="0" fontAlgn="base">
            <a:spcBef>
              <a:spcPct val="0"/>
            </a:spcBef>
            <a:spcAft>
              <a:spcPct val="0"/>
            </a:spcAft>
            <a:defRPr sz="2400" kern="1200">
              <a:solidFill>
                <a:schemeClr val="tx1"/>
              </a:solidFill>
              <a:latin typeface="Times New Roman" panose="02020603050405020304" pitchFamily="18" charset="0"/>
              <a:ea typeface="+mn-ea"/>
              <a:cs typeface="+mn-cs"/>
            </a:defRPr>
          </a:lvl4pPr>
          <a:lvl5pPr marL="1828800" algn="l" rtl="0" fontAlgn="base">
            <a:spcBef>
              <a:spcPct val="0"/>
            </a:spcBef>
            <a:spcAft>
              <a:spcPct val="0"/>
            </a:spcAft>
            <a:defRPr sz="2400" kern="1200">
              <a:solidFill>
                <a:schemeClr val="tx1"/>
              </a:solidFill>
              <a:latin typeface="Times New Roman" panose="02020603050405020304" pitchFamily="18" charset="0"/>
              <a:ea typeface="+mn-ea"/>
              <a:cs typeface="+mn-cs"/>
            </a:defRPr>
          </a:lvl5pPr>
          <a:lvl6pPr marL="2286000" algn="l" defTabSz="914400" rtl="0" eaLnBrk="1" latinLnBrk="0" hangingPunct="1">
            <a:defRPr sz="2400" kern="1200">
              <a:solidFill>
                <a:schemeClr val="tx1"/>
              </a:solidFill>
              <a:latin typeface="Times New Roman" panose="02020603050405020304" pitchFamily="18" charset="0"/>
              <a:ea typeface="+mn-ea"/>
              <a:cs typeface="+mn-cs"/>
            </a:defRPr>
          </a:lvl6pPr>
          <a:lvl7pPr marL="2743200" algn="l" defTabSz="914400" rtl="0" eaLnBrk="1" latinLnBrk="0" hangingPunct="1">
            <a:defRPr sz="2400" kern="1200">
              <a:solidFill>
                <a:schemeClr val="tx1"/>
              </a:solidFill>
              <a:latin typeface="Times New Roman" panose="02020603050405020304" pitchFamily="18" charset="0"/>
              <a:ea typeface="+mn-ea"/>
              <a:cs typeface="+mn-cs"/>
            </a:defRPr>
          </a:lvl7pPr>
          <a:lvl8pPr marL="3200400" algn="l" defTabSz="914400" rtl="0" eaLnBrk="1" latinLnBrk="0" hangingPunct="1">
            <a:defRPr sz="2400" kern="1200">
              <a:solidFill>
                <a:schemeClr val="tx1"/>
              </a:solidFill>
              <a:latin typeface="Times New Roman" panose="02020603050405020304" pitchFamily="18" charset="0"/>
              <a:ea typeface="+mn-ea"/>
              <a:cs typeface="+mn-cs"/>
            </a:defRPr>
          </a:lvl8pPr>
          <a:lvl9pPr marL="3657600" algn="l" defTabSz="914400" rtl="0" eaLnBrk="1" latinLnBrk="0" hangingPunct="1">
            <a:defRPr sz="2400" kern="1200">
              <a:solidFill>
                <a:schemeClr val="tx1"/>
              </a:solidFill>
              <a:latin typeface="Times New Roman" panose="02020603050405020304" pitchFamily="18" charset="0"/>
              <a:ea typeface="+mn-ea"/>
              <a:cs typeface="+mn-cs"/>
            </a:defRPr>
          </a:lvl9pPr>
        </a:lstStyle>
        <a:p>
          <a:r>
            <a:rPr lang="en-US" sz="1200">
              <a:solidFill>
                <a:schemeClr val="accent1"/>
              </a:solidFill>
              <a:latin typeface="Arial" panose="020B0604020202020204" pitchFamily="34" charset="0"/>
              <a:cs typeface="Arial" panose="020B0604020202020204" pitchFamily="34" charset="0"/>
            </a:rPr>
            <a:t>Hire Richard Sweeny!</a:t>
          </a:r>
        </a:p>
        <a:p>
          <a:r>
            <a:rPr lang="en-US" sz="1200">
              <a:solidFill>
                <a:schemeClr val="accent1"/>
              </a:solidFill>
              <a:latin typeface="Arial" panose="020B0604020202020204" pitchFamily="34" charset="0"/>
              <a:cs typeface="Arial" panose="020B0604020202020204" pitchFamily="34" charset="0"/>
            </a:rPr>
            <a:t>RichSweeny@SweenyWasHere.com</a:t>
          </a:r>
        </a:p>
        <a:p>
          <a:r>
            <a:rPr lang="en-US" sz="1200">
              <a:solidFill>
                <a:schemeClr val="accent1"/>
              </a:solidFill>
              <a:latin typeface="Arial" panose="020B0604020202020204" pitchFamily="34" charset="0"/>
              <a:cs typeface="Arial" panose="020B0604020202020204" pitchFamily="34" charset="0"/>
            </a:rPr>
            <a:t>516-359-6454</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40821</xdr:colOff>
      <xdr:row>0</xdr:row>
      <xdr:rowOff>122464</xdr:rowOff>
    </xdr:from>
    <xdr:to>
      <xdr:col>2</xdr:col>
      <xdr:colOff>2789465</xdr:colOff>
      <xdr:row>3</xdr:row>
      <xdr:rowOff>100538</xdr:rowOff>
    </xdr:to>
    <xdr:sp macro="" textlink="">
      <xdr:nvSpPr>
        <xdr:cNvPr id="2" name="TextBox 3">
          <a:extLst>
            <a:ext uri="{FF2B5EF4-FFF2-40B4-BE49-F238E27FC236}">
              <a16:creationId xmlns:a16="http://schemas.microsoft.com/office/drawing/2014/main" id="{00000000-0008-0000-0200-000002000000}"/>
            </a:ext>
          </a:extLst>
        </xdr:cNvPr>
        <xdr:cNvSpPr txBox="1"/>
      </xdr:nvSpPr>
      <xdr:spPr>
        <a:xfrm>
          <a:off x="4844142" y="122464"/>
          <a:ext cx="2748644" cy="549574"/>
        </a:xfrm>
        <a:prstGeom prst="rect">
          <a:avLst/>
        </a:prstGeom>
        <a:solidFill>
          <a:sysClr val="window" lastClr="FFFFFF"/>
        </a:solidFill>
        <a:ln w="19050">
          <a:solidFill>
            <a:schemeClr val="accent1"/>
          </a:solidFill>
        </a:ln>
      </xdr:spPr>
      <xdr:txBody>
        <a:bodyPr wrap="square" tIns="18288" bIns="0" rtlCol="0">
          <a:spAutoFit/>
        </a:bodyPr>
        <a:lstStyle>
          <a:defPPr>
            <a:defRPr lang="en-US"/>
          </a:defPPr>
          <a:lvl1pPr algn="l" rtl="0" fontAlgn="base">
            <a:spcBef>
              <a:spcPct val="0"/>
            </a:spcBef>
            <a:spcAft>
              <a:spcPct val="0"/>
            </a:spcAft>
            <a:defRPr sz="2400" kern="1200">
              <a:solidFill>
                <a:schemeClr val="tx1"/>
              </a:solidFill>
              <a:latin typeface="Times New Roman" panose="02020603050405020304" pitchFamily="18" charset="0"/>
              <a:ea typeface="+mn-ea"/>
              <a:cs typeface="+mn-cs"/>
            </a:defRPr>
          </a:lvl1pPr>
          <a:lvl2pPr marL="457200" algn="l" rtl="0" fontAlgn="base">
            <a:spcBef>
              <a:spcPct val="0"/>
            </a:spcBef>
            <a:spcAft>
              <a:spcPct val="0"/>
            </a:spcAft>
            <a:defRPr sz="2400" kern="1200">
              <a:solidFill>
                <a:schemeClr val="tx1"/>
              </a:solidFill>
              <a:latin typeface="Times New Roman" panose="02020603050405020304" pitchFamily="18" charset="0"/>
              <a:ea typeface="+mn-ea"/>
              <a:cs typeface="+mn-cs"/>
            </a:defRPr>
          </a:lvl2pPr>
          <a:lvl3pPr marL="914400" algn="l" rtl="0" fontAlgn="base">
            <a:spcBef>
              <a:spcPct val="0"/>
            </a:spcBef>
            <a:spcAft>
              <a:spcPct val="0"/>
            </a:spcAft>
            <a:defRPr sz="2400" kern="1200">
              <a:solidFill>
                <a:schemeClr val="tx1"/>
              </a:solidFill>
              <a:latin typeface="Times New Roman" panose="02020603050405020304" pitchFamily="18" charset="0"/>
              <a:ea typeface="+mn-ea"/>
              <a:cs typeface="+mn-cs"/>
            </a:defRPr>
          </a:lvl3pPr>
          <a:lvl4pPr marL="1371600" algn="l" rtl="0" fontAlgn="base">
            <a:spcBef>
              <a:spcPct val="0"/>
            </a:spcBef>
            <a:spcAft>
              <a:spcPct val="0"/>
            </a:spcAft>
            <a:defRPr sz="2400" kern="1200">
              <a:solidFill>
                <a:schemeClr val="tx1"/>
              </a:solidFill>
              <a:latin typeface="Times New Roman" panose="02020603050405020304" pitchFamily="18" charset="0"/>
              <a:ea typeface="+mn-ea"/>
              <a:cs typeface="+mn-cs"/>
            </a:defRPr>
          </a:lvl4pPr>
          <a:lvl5pPr marL="1828800" algn="l" rtl="0" fontAlgn="base">
            <a:spcBef>
              <a:spcPct val="0"/>
            </a:spcBef>
            <a:spcAft>
              <a:spcPct val="0"/>
            </a:spcAft>
            <a:defRPr sz="2400" kern="1200">
              <a:solidFill>
                <a:schemeClr val="tx1"/>
              </a:solidFill>
              <a:latin typeface="Times New Roman" panose="02020603050405020304" pitchFamily="18" charset="0"/>
              <a:ea typeface="+mn-ea"/>
              <a:cs typeface="+mn-cs"/>
            </a:defRPr>
          </a:lvl5pPr>
          <a:lvl6pPr marL="2286000" algn="l" defTabSz="914400" rtl="0" eaLnBrk="1" latinLnBrk="0" hangingPunct="1">
            <a:defRPr sz="2400" kern="1200">
              <a:solidFill>
                <a:schemeClr val="tx1"/>
              </a:solidFill>
              <a:latin typeface="Times New Roman" panose="02020603050405020304" pitchFamily="18" charset="0"/>
              <a:ea typeface="+mn-ea"/>
              <a:cs typeface="+mn-cs"/>
            </a:defRPr>
          </a:lvl6pPr>
          <a:lvl7pPr marL="2743200" algn="l" defTabSz="914400" rtl="0" eaLnBrk="1" latinLnBrk="0" hangingPunct="1">
            <a:defRPr sz="2400" kern="1200">
              <a:solidFill>
                <a:schemeClr val="tx1"/>
              </a:solidFill>
              <a:latin typeface="Times New Roman" panose="02020603050405020304" pitchFamily="18" charset="0"/>
              <a:ea typeface="+mn-ea"/>
              <a:cs typeface="+mn-cs"/>
            </a:defRPr>
          </a:lvl7pPr>
          <a:lvl8pPr marL="3200400" algn="l" defTabSz="914400" rtl="0" eaLnBrk="1" latinLnBrk="0" hangingPunct="1">
            <a:defRPr sz="2400" kern="1200">
              <a:solidFill>
                <a:schemeClr val="tx1"/>
              </a:solidFill>
              <a:latin typeface="Times New Roman" panose="02020603050405020304" pitchFamily="18" charset="0"/>
              <a:ea typeface="+mn-ea"/>
              <a:cs typeface="+mn-cs"/>
            </a:defRPr>
          </a:lvl8pPr>
          <a:lvl9pPr marL="3657600" algn="l" defTabSz="914400" rtl="0" eaLnBrk="1" latinLnBrk="0" hangingPunct="1">
            <a:defRPr sz="2400" kern="1200">
              <a:solidFill>
                <a:schemeClr val="tx1"/>
              </a:solidFill>
              <a:latin typeface="Times New Roman" panose="02020603050405020304" pitchFamily="18" charset="0"/>
              <a:ea typeface="+mn-ea"/>
              <a:cs typeface="+mn-cs"/>
            </a:defRPr>
          </a:lvl9pPr>
        </a:lstStyle>
        <a:p>
          <a:r>
            <a:rPr lang="en-US" sz="1200">
              <a:solidFill>
                <a:schemeClr val="accent1"/>
              </a:solidFill>
              <a:latin typeface="Arial" panose="020B0604020202020204" pitchFamily="34" charset="0"/>
              <a:cs typeface="Arial" panose="020B0604020202020204" pitchFamily="34" charset="0"/>
            </a:rPr>
            <a:t>Hire Richard Sweeny!</a:t>
          </a:r>
        </a:p>
        <a:p>
          <a:r>
            <a:rPr lang="en-US" sz="1200">
              <a:solidFill>
                <a:schemeClr val="accent1"/>
              </a:solidFill>
              <a:latin typeface="Arial" panose="020B0604020202020204" pitchFamily="34" charset="0"/>
              <a:cs typeface="Arial" panose="020B0604020202020204" pitchFamily="34" charset="0"/>
            </a:rPr>
            <a:t>RichSweeny@SweenyWasHere.com</a:t>
          </a:r>
        </a:p>
        <a:p>
          <a:r>
            <a:rPr lang="en-US" sz="1200">
              <a:solidFill>
                <a:schemeClr val="accent1"/>
              </a:solidFill>
              <a:latin typeface="Arial" panose="020B0604020202020204" pitchFamily="34" charset="0"/>
              <a:cs typeface="Arial" panose="020B0604020202020204" pitchFamily="34" charset="0"/>
            </a:rPr>
            <a:t>516-359-6454</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179914</xdr:colOff>
      <xdr:row>6</xdr:row>
      <xdr:rowOff>0</xdr:rowOff>
    </xdr:from>
    <xdr:to>
      <xdr:col>11</xdr:col>
      <xdr:colOff>1322914</xdr:colOff>
      <xdr:row>7</xdr:row>
      <xdr:rowOff>254000</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6549758" y="3964781"/>
          <a:ext cx="2881312" cy="1135063"/>
          <a:chOff x="6582831" y="3979333"/>
          <a:chExt cx="2889250" cy="1143000"/>
        </a:xfrm>
      </xdr:grpSpPr>
      <xdr:sp macro="" textlink="">
        <xdr:nvSpPr>
          <xdr:cNvPr id="28" name="Rectangle: Single Corner Snipped 27">
            <a:extLst>
              <a:ext uri="{FF2B5EF4-FFF2-40B4-BE49-F238E27FC236}">
                <a16:creationId xmlns:a16="http://schemas.microsoft.com/office/drawing/2014/main" id="{00000000-0008-0000-0300-00001C000000}"/>
              </a:ext>
            </a:extLst>
          </xdr:cNvPr>
          <xdr:cNvSpPr/>
        </xdr:nvSpPr>
        <xdr:spPr>
          <a:xfrm>
            <a:off x="6582831" y="3979333"/>
            <a:ext cx="2889250" cy="1143000"/>
          </a:xfrm>
          <a:prstGeom prst="snip1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tIns="0" bIns="45720" rtlCol="0" anchor="t"/>
          <a:lstStyle/>
          <a:p>
            <a:pPr marL="0" marR="0" lvl="0" indent="0" algn="ctr" defTabSz="914400" eaLnBrk="1" fontAlgn="auto" latinLnBrk="0" hangingPunct="1">
              <a:lnSpc>
                <a:spcPct val="100000"/>
              </a:lnSpc>
              <a:spcBef>
                <a:spcPts val="0"/>
              </a:spcBef>
              <a:spcAft>
                <a:spcPts val="0"/>
              </a:spcAft>
              <a:buClrTx/>
              <a:buSzTx/>
              <a:buFontTx/>
              <a:buNone/>
              <a:tabLst/>
              <a:defRPr/>
            </a:pPr>
            <a:endParaRPr lang="en-US">
              <a:effectLst/>
            </a:endParaRPr>
          </a:p>
        </xdr:txBody>
      </xdr:sp>
      <xdr:sp macro="" textlink="">
        <xdr:nvSpPr>
          <xdr:cNvPr id="29" name="TextBox 28">
            <a:extLst>
              <a:ext uri="{FF2B5EF4-FFF2-40B4-BE49-F238E27FC236}">
                <a16:creationId xmlns:a16="http://schemas.microsoft.com/office/drawing/2014/main" id="{00000000-0008-0000-0300-00001D000000}"/>
              </a:ext>
            </a:extLst>
          </xdr:cNvPr>
          <xdr:cNvSpPr txBox="1"/>
        </xdr:nvSpPr>
        <xdr:spPr>
          <a:xfrm>
            <a:off x="7244290" y="3989919"/>
            <a:ext cx="1566332" cy="1719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chemeClr val="bg1"/>
                </a:solidFill>
                <a:effectLst/>
                <a:latin typeface="+mn-lt"/>
                <a:ea typeface="+mn-ea"/>
                <a:cs typeface="+mn-cs"/>
              </a:rPr>
              <a:t>Let's Make Some Chang</a:t>
            </a:r>
            <a:r>
              <a:rPr lang="en-US" sz="1100" b="1" baseline="0">
                <a:solidFill>
                  <a:schemeClr val="bg1"/>
                </a:solidFill>
                <a:effectLst/>
                <a:latin typeface="+mn-lt"/>
                <a:ea typeface="+mn-ea"/>
                <a:cs typeface="+mn-cs"/>
              </a:rPr>
              <a:t>es!</a:t>
            </a:r>
            <a:endParaRPr lang="en-US">
              <a:solidFill>
                <a:schemeClr val="bg1"/>
              </a:solidFill>
              <a:effectLst/>
            </a:endParaRPr>
          </a:p>
        </xdr:txBody>
      </xdr:sp>
    </xdr:grpSp>
    <xdr:clientData/>
  </xdr:twoCellAnchor>
  <mc:AlternateContent xmlns:mc="http://schemas.openxmlformats.org/markup-compatibility/2006">
    <mc:Choice xmlns:a14="http://schemas.microsoft.com/office/drawing/2010/main" Requires="a14">
      <xdr:twoCellAnchor>
        <xdr:from>
          <xdr:col>9</xdr:col>
          <xdr:colOff>161925</xdr:colOff>
          <xdr:row>6</xdr:row>
          <xdr:rowOff>238125</xdr:rowOff>
        </xdr:from>
        <xdr:to>
          <xdr:col>9</xdr:col>
          <xdr:colOff>1323975</xdr:colOff>
          <xdr:row>6</xdr:row>
          <xdr:rowOff>476250</xdr:rowOff>
        </xdr:to>
        <xdr:sp macro="" textlink="">
          <xdr:nvSpPr>
            <xdr:cNvPr id="161797" name="Button 5" hidden="1">
              <a:extLst>
                <a:ext uri="{63B3BB69-23CF-44E3-9099-C40C66FF867C}">
                  <a14:compatExt spid="_x0000_s161797"/>
                </a:ext>
                <a:ext uri="{FF2B5EF4-FFF2-40B4-BE49-F238E27FC236}">
                  <a16:creationId xmlns:a16="http://schemas.microsoft.com/office/drawing/2014/main" id="{00000000-0008-0000-0300-000005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Delete Chart Headings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xdr:row>
          <xdr:rowOff>238125</xdr:rowOff>
        </xdr:from>
        <xdr:to>
          <xdr:col>11</xdr:col>
          <xdr:colOff>1076325</xdr:colOff>
          <xdr:row>6</xdr:row>
          <xdr:rowOff>476250</xdr:rowOff>
        </xdr:to>
        <xdr:sp macro="" textlink="">
          <xdr:nvSpPr>
            <xdr:cNvPr id="161798" name="Button 6" hidden="1">
              <a:extLst>
                <a:ext uri="{63B3BB69-23CF-44E3-9099-C40C66FF867C}">
                  <a14:compatExt spid="_x0000_s161798"/>
                </a:ext>
                <a:ext uri="{FF2B5EF4-FFF2-40B4-BE49-F238E27FC236}">
                  <a16:creationId xmlns:a16="http://schemas.microsoft.com/office/drawing/2014/main" id="{00000000-0008-0000-0300-000006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 Chart Headings</a:t>
              </a:r>
            </a:p>
          </xdr:txBody>
        </xdr:sp>
        <xdr:clientData fPrintsWithSheet="0"/>
      </xdr:twoCellAnchor>
    </mc:Choice>
    <mc:Fallback/>
  </mc:AlternateContent>
  <xdr:twoCellAnchor editAs="oneCell">
    <xdr:from>
      <xdr:col>1</xdr:col>
      <xdr:colOff>114300</xdr:colOff>
      <xdr:row>6</xdr:row>
      <xdr:rowOff>9525</xdr:rowOff>
    </xdr:from>
    <xdr:to>
      <xdr:col>1</xdr:col>
      <xdr:colOff>1304925</xdr:colOff>
      <xdr:row>6</xdr:row>
      <xdr:rowOff>828675</xdr:rowOff>
    </xdr:to>
    <xdr:pic macro="[0]!mod_Buttons.btn_UO_Click">
      <xdr:nvPicPr>
        <xdr:cNvPr id="2" name="Picture 41" descr="Usage Overview">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8625" y="4295775"/>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22</xdr:col>
      <xdr:colOff>0</xdr:colOff>
      <xdr:row>1</xdr:row>
      <xdr:rowOff>0</xdr:rowOff>
    </xdr:from>
    <xdr:to>
      <xdr:col>22</xdr:col>
      <xdr:colOff>0</xdr:colOff>
      <xdr:row>1</xdr:row>
      <xdr:rowOff>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15125700" y="139065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41148" rIns="36576" bIns="0" anchor="t" upright="1"/>
        <a:lstStyle/>
        <a:p>
          <a:pPr algn="ctr" rtl="0">
            <a:defRPr sz="1000"/>
          </a:pPr>
          <a:r>
            <a:rPr lang="en-US" sz="1200" b="0" i="0" u="none" strike="noStrike" baseline="0">
              <a:solidFill>
                <a:srgbClr val="FFFFFF"/>
              </a:solidFill>
              <a:latin typeface="Arial Black"/>
            </a:rPr>
            <a:t>Usage Management</a:t>
          </a:r>
        </a:p>
      </xdr:txBody>
    </xdr:sp>
    <xdr:clientData/>
  </xdr:twoCellAnchor>
  <xdr:twoCellAnchor>
    <xdr:from>
      <xdr:col>22</xdr:col>
      <xdr:colOff>0</xdr:colOff>
      <xdr:row>26</xdr:row>
      <xdr:rowOff>47625</xdr:rowOff>
    </xdr:from>
    <xdr:to>
      <xdr:col>22</xdr:col>
      <xdr:colOff>0</xdr:colOff>
      <xdr:row>27</xdr:row>
      <xdr:rowOff>114300</xdr:rowOff>
    </xdr:to>
    <xdr:sp macro="" textlink="">
      <xdr:nvSpPr>
        <xdr:cNvPr id="4" name="Text Box 2">
          <a:extLst>
            <a:ext uri="{FF2B5EF4-FFF2-40B4-BE49-F238E27FC236}">
              <a16:creationId xmlns:a16="http://schemas.microsoft.com/office/drawing/2014/main" id="{00000000-0008-0000-0300-000004000000}"/>
            </a:ext>
          </a:extLst>
        </xdr:cNvPr>
        <xdr:cNvSpPr txBox="1">
          <a:spLocks noChangeArrowheads="1"/>
        </xdr:cNvSpPr>
      </xdr:nvSpPr>
      <xdr:spPr bwMode="auto">
        <a:xfrm>
          <a:off x="15125700" y="9286875"/>
          <a:ext cx="0"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36576" tIns="41148" rIns="36576" bIns="0" anchor="t" upright="1"/>
        <a:lstStyle/>
        <a:p>
          <a:pPr algn="ctr" rtl="0">
            <a:defRPr sz="1000"/>
          </a:pPr>
          <a:r>
            <a:rPr lang="en-US" sz="1200" b="0" i="0" u="none" strike="noStrike" baseline="0">
              <a:solidFill>
                <a:srgbClr val="FFFFFF"/>
              </a:solidFill>
              <a:latin typeface="Arial Black"/>
            </a:rPr>
            <a:t>Usage Management</a:t>
          </a:r>
        </a:p>
      </xdr:txBody>
    </xdr:sp>
    <xdr:clientData/>
  </xdr:twoCellAnchor>
  <xdr:oneCellAnchor>
    <xdr:from>
      <xdr:col>10</xdr:col>
      <xdr:colOff>152400</xdr:colOff>
      <xdr:row>10</xdr:row>
      <xdr:rowOff>114300</xdr:rowOff>
    </xdr:from>
    <xdr:ext cx="76200" cy="200025"/>
    <xdr:sp macro="" textlink="">
      <xdr:nvSpPr>
        <xdr:cNvPr id="5" name="Text Box 9">
          <a:extLst>
            <a:ext uri="{FF2B5EF4-FFF2-40B4-BE49-F238E27FC236}">
              <a16:creationId xmlns:a16="http://schemas.microsoft.com/office/drawing/2014/main" id="{00000000-0008-0000-0300-000005000000}"/>
            </a:ext>
          </a:extLst>
        </xdr:cNvPr>
        <xdr:cNvSpPr txBox="1">
          <a:spLocks noChangeArrowheads="1"/>
        </xdr:cNvSpPr>
      </xdr:nvSpPr>
      <xdr:spPr bwMode="auto">
        <a:xfrm>
          <a:off x="8096250" y="6762750"/>
          <a:ext cx="76200"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oneCellAnchor>
  <xdr:twoCellAnchor editAs="oneCell">
    <xdr:from>
      <xdr:col>9</xdr:col>
      <xdr:colOff>426243</xdr:colOff>
      <xdr:row>0</xdr:row>
      <xdr:rowOff>123825</xdr:rowOff>
    </xdr:from>
    <xdr:to>
      <xdr:col>12</xdr:col>
      <xdr:colOff>26193</xdr:colOff>
      <xdr:row>0</xdr:row>
      <xdr:rowOff>1323975</xdr:rowOff>
    </xdr:to>
    <xdr:pic>
      <xdr:nvPicPr>
        <xdr:cNvPr id="6" name="Picture 20" descr="Mobile3x8white 12-21-03">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4486" r="15701"/>
        <a:stretch>
          <a:fillRect/>
        </a:stretch>
      </xdr:blipFill>
      <xdr:spPr bwMode="auto">
        <a:xfrm>
          <a:off x="6974681" y="123825"/>
          <a:ext cx="2540793" cy="1200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1</xdr:col>
          <xdr:colOff>809625</xdr:colOff>
          <xdr:row>0</xdr:row>
          <xdr:rowOff>1219200</xdr:rowOff>
        </xdr:from>
        <xdr:to>
          <xdr:col>3</xdr:col>
          <xdr:colOff>219075</xdr:colOff>
          <xdr:row>0</xdr:row>
          <xdr:rowOff>1381125</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00000000-0008-0000-0300-0000017802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800" b="1" i="0" u="none" strike="noStrike" baseline="0">
                  <a:solidFill>
                    <a:srgbClr val="000000"/>
                  </a:solidFill>
                  <a:latin typeface="Verdana"/>
                  <a:ea typeface="Verdana"/>
                </a:rPr>
                <a:t>Full Screen 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0</xdr:row>
          <xdr:rowOff>1219200</xdr:rowOff>
        </xdr:from>
        <xdr:to>
          <xdr:col>1</xdr:col>
          <xdr:colOff>790575</xdr:colOff>
          <xdr:row>0</xdr:row>
          <xdr:rowOff>1381125</xdr:rowOff>
        </xdr:to>
        <xdr:sp macro="" textlink="">
          <xdr:nvSpPr>
            <xdr:cNvPr id="161794" name="Button 2" hidden="1">
              <a:extLst>
                <a:ext uri="{63B3BB69-23CF-44E3-9099-C40C66FF867C}">
                  <a14:compatExt spid="_x0000_s161794"/>
                </a:ext>
                <a:ext uri="{FF2B5EF4-FFF2-40B4-BE49-F238E27FC236}">
                  <a16:creationId xmlns:a16="http://schemas.microsoft.com/office/drawing/2014/main" id="{00000000-0008-0000-0300-0000027802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800" b="1" i="0" u="none" strike="noStrike" baseline="0">
                  <a:solidFill>
                    <a:srgbClr val="000000"/>
                  </a:solidFill>
                  <a:latin typeface="Verdana"/>
                  <a:ea typeface="Verdana"/>
                </a:rPr>
                <a:t>Full Screen On</a:t>
              </a:r>
            </a:p>
          </xdr:txBody>
        </xdr:sp>
        <xdr:clientData fPrintsWithSheet="0"/>
      </xdr:twoCellAnchor>
    </mc:Choice>
    <mc:Fallback/>
  </mc:AlternateContent>
  <xdr:twoCellAnchor>
    <xdr:from>
      <xdr:col>7</xdr:col>
      <xdr:colOff>104775</xdr:colOff>
      <xdr:row>2</xdr:row>
      <xdr:rowOff>9525</xdr:rowOff>
    </xdr:from>
    <xdr:to>
      <xdr:col>7</xdr:col>
      <xdr:colOff>1266825</xdr:colOff>
      <xdr:row>2</xdr:row>
      <xdr:rowOff>838200</xdr:rowOff>
    </xdr:to>
    <xdr:pic macro="[0]!mod_Buttons.btn_WSM_Click">
      <xdr:nvPicPr>
        <xdr:cNvPr id="7" name="Picture 26" descr="Wireless Spend and Minutes">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105400" y="1876425"/>
          <a:ext cx="11620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95250</xdr:colOff>
      <xdr:row>2</xdr:row>
      <xdr:rowOff>9525</xdr:rowOff>
    </xdr:from>
    <xdr:to>
      <xdr:col>9</xdr:col>
      <xdr:colOff>1295400</xdr:colOff>
      <xdr:row>2</xdr:row>
      <xdr:rowOff>838200</xdr:rowOff>
    </xdr:to>
    <xdr:pic macro="[0]!btn_YTDTC_Click">
      <xdr:nvPicPr>
        <xdr:cNvPr id="8" name="Picture 27" descr="Year-To-Date-Trending">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657975" y="1876425"/>
          <a:ext cx="12001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104775</xdr:colOff>
      <xdr:row>2</xdr:row>
      <xdr:rowOff>9525</xdr:rowOff>
    </xdr:from>
    <xdr:to>
      <xdr:col>5</xdr:col>
      <xdr:colOff>1266825</xdr:colOff>
      <xdr:row>2</xdr:row>
      <xdr:rowOff>838200</xdr:rowOff>
    </xdr:to>
    <xdr:pic macro="[0]!mod_Buttons.btn_CPM_Click">
      <xdr:nvPicPr>
        <xdr:cNvPr id="9" name="Picture 28" descr="Cost Per Minute Distribution">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43300" y="1876425"/>
          <a:ext cx="1162050"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114300</xdr:colOff>
      <xdr:row>2</xdr:row>
      <xdr:rowOff>9525</xdr:rowOff>
    </xdr:from>
    <xdr:to>
      <xdr:col>1</xdr:col>
      <xdr:colOff>1304925</xdr:colOff>
      <xdr:row>2</xdr:row>
      <xdr:rowOff>828675</xdr:rowOff>
    </xdr:to>
    <xdr:pic macro="[0]!btn_CSS_Click">
      <xdr:nvPicPr>
        <xdr:cNvPr id="10" name="Picture 29" descr="Cumulative Savings vs % of Total Spend">
          <a:extLst>
            <a:ext uri="{FF2B5EF4-FFF2-40B4-BE49-F238E27FC236}">
              <a16:creationId xmlns:a16="http://schemas.microsoft.com/office/drawing/2014/main" id="{00000000-0008-0000-0300-00000A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28625" y="1876425"/>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95250</xdr:colOff>
      <xdr:row>4</xdr:row>
      <xdr:rowOff>9525</xdr:rowOff>
    </xdr:from>
    <xdr:to>
      <xdr:col>9</xdr:col>
      <xdr:colOff>1285875</xdr:colOff>
      <xdr:row>4</xdr:row>
      <xdr:rowOff>828675</xdr:rowOff>
    </xdr:to>
    <xdr:pic macro="[0]!mod_Buttons.btn_MMACP_Click">
      <xdr:nvPicPr>
        <xdr:cNvPr id="11" name="Picture 30" descr="Monthly Min Avg Cost Per Phone">
          <a:extLst>
            <a:ext uri="{FF2B5EF4-FFF2-40B4-BE49-F238E27FC236}">
              <a16:creationId xmlns:a16="http://schemas.microsoft.com/office/drawing/2014/main" id="{00000000-0008-0000-03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657975" y="3086100"/>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95250</xdr:colOff>
      <xdr:row>6</xdr:row>
      <xdr:rowOff>9525</xdr:rowOff>
    </xdr:from>
    <xdr:to>
      <xdr:col>3</xdr:col>
      <xdr:colOff>1285875</xdr:colOff>
      <xdr:row>6</xdr:row>
      <xdr:rowOff>828675</xdr:rowOff>
    </xdr:to>
    <xdr:pic macro="[0]!mod_Buttons.btn_MMCPM_Click">
      <xdr:nvPicPr>
        <xdr:cNvPr id="12" name="Picture 31" descr="Monthly Minutes and Cost Per Minute">
          <a:extLst>
            <a:ext uri="{FF2B5EF4-FFF2-40B4-BE49-F238E27FC236}">
              <a16:creationId xmlns:a16="http://schemas.microsoft.com/office/drawing/2014/main" id="{00000000-0008-0000-0300-00000C000000}"/>
            </a:ext>
          </a:extLst>
        </xdr:cNvPr>
        <xdr:cNvPicPr>
          <a:picLocks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971675" y="4295775"/>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104775</xdr:colOff>
      <xdr:row>4</xdr:row>
      <xdr:rowOff>9525</xdr:rowOff>
    </xdr:from>
    <xdr:to>
      <xdr:col>7</xdr:col>
      <xdr:colOff>1295400</xdr:colOff>
      <xdr:row>4</xdr:row>
      <xdr:rowOff>828675</xdr:rowOff>
    </xdr:to>
    <xdr:pic macro="[0]!mod_Buttons.btn_MSCS_Click">
      <xdr:nvPicPr>
        <xdr:cNvPr id="13" name="Picture 33" descr="Monthly Spend vs Cum Savings">
          <a:extLst>
            <a:ext uri="{FF2B5EF4-FFF2-40B4-BE49-F238E27FC236}">
              <a16:creationId xmlns:a16="http://schemas.microsoft.com/office/drawing/2014/main" id="{00000000-0008-0000-0300-00000D000000}"/>
            </a:ext>
          </a:extLst>
        </xdr:cNvPr>
        <xdr:cNvPicPr>
          <a:picLocks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105400" y="3086100"/>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104775</xdr:colOff>
      <xdr:row>2</xdr:row>
      <xdr:rowOff>9525</xdr:rowOff>
    </xdr:from>
    <xdr:to>
      <xdr:col>3</xdr:col>
      <xdr:colOff>1276350</xdr:colOff>
      <xdr:row>2</xdr:row>
      <xdr:rowOff>838200</xdr:rowOff>
    </xdr:to>
    <xdr:pic macro="[0]!mod_Buttons.btn_NCS_Click">
      <xdr:nvPicPr>
        <xdr:cNvPr id="14" name="Picture 34" descr="Net Cumulative Savings">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981200" y="1876425"/>
          <a:ext cx="1171575"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95250</xdr:colOff>
      <xdr:row>4</xdr:row>
      <xdr:rowOff>9525</xdr:rowOff>
    </xdr:from>
    <xdr:to>
      <xdr:col>3</xdr:col>
      <xdr:colOff>1285875</xdr:colOff>
      <xdr:row>4</xdr:row>
      <xdr:rowOff>828675</xdr:rowOff>
    </xdr:to>
    <xdr:pic macro="[0]!mod_Buttons.btn_NSSC_Click">
      <xdr:nvPicPr>
        <xdr:cNvPr id="15" name="Picture 35" descr="Net Savings vs Cost per User">
          <a:extLst>
            <a:ext uri="{FF2B5EF4-FFF2-40B4-BE49-F238E27FC236}">
              <a16:creationId xmlns:a16="http://schemas.microsoft.com/office/drawing/2014/main" id="{00000000-0008-0000-0300-00000F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971675" y="3086100"/>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6</xdr:row>
      <xdr:rowOff>9525</xdr:rowOff>
    </xdr:from>
    <xdr:to>
      <xdr:col>5</xdr:col>
      <xdr:colOff>1285875</xdr:colOff>
      <xdr:row>6</xdr:row>
      <xdr:rowOff>828675</xdr:rowOff>
    </xdr:to>
    <xdr:pic macro="[0]!mod_Buttons.btn_SMOU_Click">
      <xdr:nvPicPr>
        <xdr:cNvPr id="16" name="Picture 36" descr="Savings vs Minutes of Use Comp">
          <a:extLst>
            <a:ext uri="{FF2B5EF4-FFF2-40B4-BE49-F238E27FC236}">
              <a16:creationId xmlns:a16="http://schemas.microsoft.com/office/drawing/2014/main" id="{00000000-0008-0000-0300-000010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533775" y="4295775"/>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104775</xdr:colOff>
      <xdr:row>6</xdr:row>
      <xdr:rowOff>9525</xdr:rowOff>
    </xdr:from>
    <xdr:to>
      <xdr:col>7</xdr:col>
      <xdr:colOff>1295400</xdr:colOff>
      <xdr:row>6</xdr:row>
      <xdr:rowOff>838200</xdr:rowOff>
    </xdr:to>
    <xdr:pic macro="[0]!btn_NSMU_Click">
      <xdr:nvPicPr>
        <xdr:cNvPr id="17" name="Picture 37" descr="Savings vs Minutes of Use">
          <a:extLst>
            <a:ext uri="{FF2B5EF4-FFF2-40B4-BE49-F238E27FC236}">
              <a16:creationId xmlns:a16="http://schemas.microsoft.com/office/drawing/2014/main" id="{00000000-0008-0000-0300-000011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105400" y="4295775"/>
          <a:ext cx="1190625" cy="828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95250</xdr:colOff>
      <xdr:row>4</xdr:row>
      <xdr:rowOff>9525</xdr:rowOff>
    </xdr:from>
    <xdr:to>
      <xdr:col>5</xdr:col>
      <xdr:colOff>1285875</xdr:colOff>
      <xdr:row>4</xdr:row>
      <xdr:rowOff>828675</xdr:rowOff>
    </xdr:to>
    <xdr:pic macro="[0]!mod_Buttons.btn_TSM_Click">
      <xdr:nvPicPr>
        <xdr:cNvPr id="18" name="Picture 38" descr="Total Spending &amp; Minutes">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3533775" y="3086100"/>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95250</xdr:colOff>
      <xdr:row>4</xdr:row>
      <xdr:rowOff>9525</xdr:rowOff>
    </xdr:from>
    <xdr:to>
      <xdr:col>11</xdr:col>
      <xdr:colOff>1285875</xdr:colOff>
      <xdr:row>4</xdr:row>
      <xdr:rowOff>828675</xdr:rowOff>
    </xdr:to>
    <xdr:pic macro="[0]!mod_Buttons.btn_UCPM_Click">
      <xdr:nvPicPr>
        <xdr:cNvPr id="19" name="Picture 39" descr="Usage Cost Per Minute">
          <a:extLst>
            <a:ext uri="{FF2B5EF4-FFF2-40B4-BE49-F238E27FC236}">
              <a16:creationId xmlns:a16="http://schemas.microsoft.com/office/drawing/2014/main" id="{00000000-0008-0000-03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220075" y="3086100"/>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4</xdr:row>
      <xdr:rowOff>9525</xdr:rowOff>
    </xdr:from>
    <xdr:to>
      <xdr:col>1</xdr:col>
      <xdr:colOff>1285875</xdr:colOff>
      <xdr:row>4</xdr:row>
      <xdr:rowOff>828675</xdr:rowOff>
    </xdr:to>
    <xdr:pic macro="[0]!mod_Buttons.btn_WSND_Click">
      <xdr:nvPicPr>
        <xdr:cNvPr id="20" name="Picture 40" descr="Wireless Spend and Number of Devices">
          <a:extLst>
            <a:ext uri="{FF2B5EF4-FFF2-40B4-BE49-F238E27FC236}">
              <a16:creationId xmlns:a16="http://schemas.microsoft.com/office/drawing/2014/main" id="{00000000-0008-0000-03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19100" y="3086100"/>
          <a:ext cx="1181100"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95250</xdr:colOff>
      <xdr:row>2</xdr:row>
      <xdr:rowOff>9525</xdr:rowOff>
    </xdr:from>
    <xdr:to>
      <xdr:col>11</xdr:col>
      <xdr:colOff>1285875</xdr:colOff>
      <xdr:row>2</xdr:row>
      <xdr:rowOff>828675</xdr:rowOff>
    </xdr:to>
    <xdr:pic macro="[0]!mod_Buttons.btn_MSB_Click">
      <xdr:nvPicPr>
        <xdr:cNvPr id="21" name="Picture 42" descr="Monthly Savings vs Baseline">
          <a:extLst>
            <a:ext uri="{FF2B5EF4-FFF2-40B4-BE49-F238E27FC236}">
              <a16:creationId xmlns:a16="http://schemas.microsoft.com/office/drawing/2014/main" id="{00000000-0008-0000-03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8220075" y="1876425"/>
          <a:ext cx="1190625" cy="819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952500</xdr:colOff>
      <xdr:row>0</xdr:row>
      <xdr:rowOff>76200</xdr:rowOff>
    </xdr:from>
    <xdr:to>
      <xdr:col>9</xdr:col>
      <xdr:colOff>38100</xdr:colOff>
      <xdr:row>0</xdr:row>
      <xdr:rowOff>1181100</xdr:rowOff>
    </xdr:to>
    <xdr:sp macro="" textlink="">
      <xdr:nvSpPr>
        <xdr:cNvPr id="22" name="Text Box 67">
          <a:extLst>
            <a:ext uri="{FF2B5EF4-FFF2-40B4-BE49-F238E27FC236}">
              <a16:creationId xmlns:a16="http://schemas.microsoft.com/office/drawing/2014/main" id="{00000000-0008-0000-0300-000016000000}"/>
            </a:ext>
          </a:extLst>
        </xdr:cNvPr>
        <xdr:cNvSpPr txBox="1">
          <a:spLocks noChangeArrowheads="1"/>
        </xdr:cNvSpPr>
      </xdr:nvSpPr>
      <xdr:spPr bwMode="auto">
        <a:xfrm>
          <a:off x="2828925" y="76200"/>
          <a:ext cx="3771900" cy="11049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91440" tIns="45720" rIns="91440" bIns="45720" anchor="t" upright="1"/>
        <a:lstStyle/>
        <a:p>
          <a:pPr algn="ctr" rtl="0">
            <a:defRPr sz="1000"/>
          </a:pPr>
          <a:r>
            <a:rPr lang="en-US" sz="3600" b="1" i="0" u="none" strike="noStrike" baseline="0">
              <a:solidFill>
                <a:srgbClr val="FFFF00"/>
              </a:solidFill>
              <a:latin typeface="Times New Roman"/>
              <a:cs typeface="Times New Roman"/>
            </a:rPr>
            <a:t>  </a:t>
          </a:r>
          <a:r>
            <a:rPr lang="en-US" sz="3600" b="1" i="0" u="sng" strike="noStrike" baseline="0">
              <a:solidFill>
                <a:srgbClr val="FFFF00"/>
              </a:solidFill>
              <a:latin typeface="Times New Roman"/>
              <a:cs typeface="Times New Roman"/>
            </a:rPr>
            <a:t>SourceMobile</a:t>
          </a:r>
          <a:r>
            <a:rPr lang="en-US" sz="2600" b="1" i="0" u="none" strike="noStrike" baseline="50000">
              <a:solidFill>
                <a:srgbClr val="FFFF00"/>
              </a:solidFill>
              <a:latin typeface="Times New Roman"/>
              <a:cs typeface="Times New Roman"/>
            </a:rPr>
            <a:t>SM</a:t>
          </a:r>
        </a:p>
        <a:p>
          <a:pPr algn="ctr" rtl="0">
            <a:defRPr sz="1000"/>
          </a:pPr>
          <a:r>
            <a:rPr lang="en-US" sz="2600" b="1" i="0" u="sng" strike="noStrike" baseline="0">
              <a:solidFill>
                <a:srgbClr val="FFFFFF"/>
              </a:solidFill>
              <a:latin typeface="Verdana"/>
              <a:ea typeface="Verdana"/>
              <a:cs typeface="Verdana"/>
            </a:rPr>
            <a:t>Charting Suite</a:t>
          </a:r>
        </a:p>
      </xdr:txBody>
    </xdr:sp>
    <xdr:clientData/>
  </xdr:twoCellAnchor>
  <xdr:twoCellAnchor editAs="absolute">
    <xdr:from>
      <xdr:col>0</xdr:col>
      <xdr:colOff>38100</xdr:colOff>
      <xdr:row>0</xdr:row>
      <xdr:rowOff>0</xdr:rowOff>
    </xdr:from>
    <xdr:to>
      <xdr:col>3</xdr:col>
      <xdr:colOff>342556</xdr:colOff>
      <xdr:row>0</xdr:row>
      <xdr:rowOff>308226</xdr:rowOff>
    </xdr:to>
    <xdr:sp macro="" textlink="">
      <xdr:nvSpPr>
        <xdr:cNvPr id="23" name="Text Box COMP NAME" descr="Slattery-Skanska&#10;Wireless Review&#10;January 2004&#10;Carrier Comparison">
          <a:extLst>
            <a:ext uri="{FF2B5EF4-FFF2-40B4-BE49-F238E27FC236}">
              <a16:creationId xmlns:a16="http://schemas.microsoft.com/office/drawing/2014/main" id="{00000000-0008-0000-0300-000017000000}"/>
            </a:ext>
          </a:extLst>
        </xdr:cNvPr>
        <xdr:cNvSpPr txBox="1">
          <a:spLocks noChangeArrowheads="1"/>
        </xdr:cNvSpPr>
      </xdr:nvSpPr>
      <xdr:spPr bwMode="auto">
        <a:xfrm>
          <a:off x="38100" y="0"/>
          <a:ext cx="2173737" cy="308226"/>
        </a:xfrm>
        <a:prstGeom prst="rect">
          <a:avLst/>
        </a:prstGeom>
        <a:noFill/>
        <a:ln>
          <a:noFill/>
        </a:ln>
        <a:effectLst/>
        <a:extLst>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36576" tIns="27432" rIns="0" bIns="0" anchor="t" upright="1">
          <a:spAutoFit/>
        </a:bodyPr>
        <a:lstStyle/>
        <a:p>
          <a:pPr algn="l" rtl="0">
            <a:defRPr sz="1000"/>
          </a:pPr>
          <a:r>
            <a:rPr lang="en-US" sz="1800" b="1" i="0" u="none" strike="noStrike" baseline="0">
              <a:solidFill>
                <a:srgbClr val="FFFFFF"/>
              </a:solidFill>
              <a:latin typeface="Verdana"/>
              <a:ea typeface="Verdana"/>
              <a:cs typeface="Verdana"/>
            </a:rPr>
            <a:t>ABC Corporation</a:t>
          </a:r>
        </a:p>
      </xdr:txBody>
    </xdr:sp>
    <xdr:clientData/>
  </xdr:twoCellAnchor>
  <xdr:twoCellAnchor editAs="absolute">
    <xdr:from>
      <xdr:col>0</xdr:col>
      <xdr:colOff>57150</xdr:colOff>
      <xdr:row>0</xdr:row>
      <xdr:rowOff>514350</xdr:rowOff>
    </xdr:from>
    <xdr:to>
      <xdr:col>3</xdr:col>
      <xdr:colOff>364427</xdr:colOff>
      <xdr:row>0</xdr:row>
      <xdr:rowOff>719855</xdr:rowOff>
    </xdr:to>
    <xdr:sp macro="" textlink="">
      <xdr:nvSpPr>
        <xdr:cNvPr id="24" name="Text Box W Rev" descr="Slattery-Skanska&#10;Wireless Review&#10;January 2004&#10;Carrier Comparison">
          <a:extLst>
            <a:ext uri="{FF2B5EF4-FFF2-40B4-BE49-F238E27FC236}">
              <a16:creationId xmlns:a16="http://schemas.microsoft.com/office/drawing/2014/main" id="{00000000-0008-0000-0300-000018000000}"/>
            </a:ext>
          </a:extLst>
        </xdr:cNvPr>
        <xdr:cNvSpPr txBox="1">
          <a:spLocks noChangeArrowheads="1"/>
        </xdr:cNvSpPr>
      </xdr:nvSpPr>
      <xdr:spPr bwMode="auto">
        <a:xfrm>
          <a:off x="57150" y="514350"/>
          <a:ext cx="2176558" cy="205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en-US" sz="1200" b="1" i="0" u="none" strike="noStrike" baseline="0">
              <a:solidFill>
                <a:srgbClr val="FFFFFF"/>
              </a:solidFill>
              <a:latin typeface="Verdana"/>
              <a:ea typeface="Verdana"/>
              <a:cs typeface="Verdana"/>
            </a:rPr>
            <a:t>Wireless Savings Review</a:t>
          </a:r>
        </a:p>
      </xdr:txBody>
    </xdr:sp>
    <xdr:clientData/>
  </xdr:twoCellAnchor>
  <xdr:twoCellAnchor editAs="absolute">
    <xdr:from>
      <xdr:col>0</xdr:col>
      <xdr:colOff>57150</xdr:colOff>
      <xdr:row>0</xdr:row>
      <xdr:rowOff>704850</xdr:rowOff>
    </xdr:from>
    <xdr:to>
      <xdr:col>1</xdr:col>
      <xdr:colOff>952340</xdr:colOff>
      <xdr:row>0</xdr:row>
      <xdr:rowOff>910355</xdr:rowOff>
    </xdr:to>
    <xdr:sp macro="" textlink="">
      <xdr:nvSpPr>
        <xdr:cNvPr id="25" name="Text Box Date" descr="Slattery-Skanska&#10;Wireless Review&#10;January 2004&#10;Carrier Comparison">
          <a:extLst>
            <a:ext uri="{FF2B5EF4-FFF2-40B4-BE49-F238E27FC236}">
              <a16:creationId xmlns:a16="http://schemas.microsoft.com/office/drawing/2014/main" id="{00000000-0008-0000-0300-000019000000}"/>
            </a:ext>
          </a:extLst>
        </xdr:cNvPr>
        <xdr:cNvSpPr txBox="1">
          <a:spLocks noChangeArrowheads="1"/>
        </xdr:cNvSpPr>
      </xdr:nvSpPr>
      <xdr:spPr bwMode="auto">
        <a:xfrm>
          <a:off x="57150" y="704850"/>
          <a:ext cx="1204753" cy="205505"/>
        </a:xfrm>
        <a:prstGeom prst="rect">
          <a:avLst/>
        </a:prstGeom>
        <a:noFill/>
        <a:ln>
          <a:noFill/>
        </a:ln>
        <a:effectLst/>
        <a:extLst>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18288" rIns="0" bIns="0" anchor="t" upright="1">
          <a:spAutoFit/>
        </a:bodyPr>
        <a:lstStyle/>
        <a:p>
          <a:pPr algn="l" rtl="0">
            <a:defRPr sz="1000"/>
          </a:pPr>
          <a:r>
            <a:rPr lang="en-US" sz="1200" b="1" i="0" u="none" strike="noStrike" baseline="0">
              <a:solidFill>
                <a:srgbClr val="FFFFFF"/>
              </a:solidFill>
              <a:latin typeface="Verdana"/>
              <a:ea typeface="Verdana"/>
              <a:cs typeface="Verdana"/>
            </a:rPr>
            <a:t>January 2023</a:t>
          </a:r>
        </a:p>
      </xdr:txBody>
    </xdr:sp>
    <xdr:clientData/>
  </xdr:twoCellAnchor>
  <xdr:twoCellAnchor editAs="absolute">
    <xdr:from>
      <xdr:col>0</xdr:col>
      <xdr:colOff>47625</xdr:colOff>
      <xdr:row>0</xdr:row>
      <xdr:rowOff>285750</xdr:rowOff>
    </xdr:from>
    <xdr:to>
      <xdr:col>2</xdr:col>
      <xdr:colOff>100043</xdr:colOff>
      <xdr:row>0</xdr:row>
      <xdr:rowOff>527035</xdr:rowOff>
    </xdr:to>
    <xdr:sp macro="" textlink="">
      <xdr:nvSpPr>
        <xdr:cNvPr id="26" name="Text Box DIV NAME" descr="Slattery-Skanska&#10;Wireless Review&#10;January 2004&#10;Carrier Comparison">
          <a:extLst>
            <a:ext uri="{FF2B5EF4-FFF2-40B4-BE49-F238E27FC236}">
              <a16:creationId xmlns:a16="http://schemas.microsoft.com/office/drawing/2014/main" id="{00000000-0008-0000-0300-00001A000000}"/>
            </a:ext>
          </a:extLst>
        </xdr:cNvPr>
        <xdr:cNvSpPr txBox="1">
          <a:spLocks noChangeArrowheads="1"/>
        </xdr:cNvSpPr>
      </xdr:nvSpPr>
      <xdr:spPr bwMode="auto">
        <a:xfrm>
          <a:off x="47625" y="285750"/>
          <a:ext cx="1743106" cy="241285"/>
        </a:xfrm>
        <a:prstGeom prst="rect">
          <a:avLst/>
        </a:prstGeom>
        <a:noFill/>
        <a:ln>
          <a:noFill/>
        </a:ln>
        <a:effectLst/>
        <a:extLst>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wrap="none" lIns="27432" tIns="22860" rIns="0" bIns="0" anchor="t" upright="1">
          <a:spAutoFit/>
        </a:bodyPr>
        <a:lstStyle/>
        <a:p>
          <a:pPr algn="l" rtl="0">
            <a:defRPr sz="1000"/>
          </a:pPr>
          <a:r>
            <a:rPr lang="en-US" sz="1400" b="1" i="0" u="none" strike="noStrike" baseline="0">
              <a:solidFill>
                <a:srgbClr val="FFFFFF"/>
              </a:solidFill>
              <a:latin typeface="Verdana"/>
              <a:ea typeface="Verdana"/>
              <a:cs typeface="Verdana"/>
            </a:rPr>
            <a:t>Executive Report</a:t>
          </a:r>
        </a:p>
      </xdr:txBody>
    </xdr:sp>
    <xdr:clientData/>
  </xdr:twoCellAnchor>
  <mc:AlternateContent xmlns:mc="http://schemas.openxmlformats.org/markup-compatibility/2006">
    <mc:Choice xmlns:a14="http://schemas.microsoft.com/office/drawing/2010/main" Requires="a14">
      <xdr:twoCellAnchor>
        <xdr:from>
          <xdr:col>9</xdr:col>
          <xdr:colOff>161925</xdr:colOff>
          <xdr:row>6</xdr:row>
          <xdr:rowOff>523875</xdr:rowOff>
        </xdr:from>
        <xdr:to>
          <xdr:col>9</xdr:col>
          <xdr:colOff>1323975</xdr:colOff>
          <xdr:row>6</xdr:row>
          <xdr:rowOff>762000</xdr:rowOff>
        </xdr:to>
        <xdr:sp macro="" textlink="">
          <xdr:nvSpPr>
            <xdr:cNvPr id="161795" name="Button 3" hidden="1">
              <a:extLst>
                <a:ext uri="{63B3BB69-23CF-44E3-9099-C40C66FF867C}">
                  <a14:compatExt spid="_x0000_s161795"/>
                </a:ext>
                <a:ext uri="{FF2B5EF4-FFF2-40B4-BE49-F238E27FC236}">
                  <a16:creationId xmlns:a16="http://schemas.microsoft.com/office/drawing/2014/main" id="{00000000-0008-0000-0300-000003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Delete Chart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xdr:row>
          <xdr:rowOff>523875</xdr:rowOff>
        </xdr:from>
        <xdr:to>
          <xdr:col>11</xdr:col>
          <xdr:colOff>1066800</xdr:colOff>
          <xdr:row>6</xdr:row>
          <xdr:rowOff>762000</xdr:rowOff>
        </xdr:to>
        <xdr:sp macro="" textlink="">
          <xdr:nvSpPr>
            <xdr:cNvPr id="161796" name="Button 4" hidden="1">
              <a:extLst>
                <a:ext uri="{63B3BB69-23CF-44E3-9099-C40C66FF867C}">
                  <a14:compatExt spid="_x0000_s161796"/>
                </a:ext>
                <a:ext uri="{FF2B5EF4-FFF2-40B4-BE49-F238E27FC236}">
                  <a16:creationId xmlns:a16="http://schemas.microsoft.com/office/drawing/2014/main" id="{00000000-0008-0000-0300-000004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 Chart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161925</xdr:colOff>
          <xdr:row>6</xdr:row>
          <xdr:rowOff>819150</xdr:rowOff>
        </xdr:from>
        <xdr:to>
          <xdr:col>9</xdr:col>
          <xdr:colOff>1323975</xdr:colOff>
          <xdr:row>7</xdr:row>
          <xdr:rowOff>171450</xdr:rowOff>
        </xdr:to>
        <xdr:sp macro="" textlink="">
          <xdr:nvSpPr>
            <xdr:cNvPr id="161799" name="Button 7" hidden="1">
              <a:extLst>
                <a:ext uri="{63B3BB69-23CF-44E3-9099-C40C66FF867C}">
                  <a14:compatExt spid="_x0000_s161799"/>
                </a:ext>
                <a:ext uri="{FF2B5EF4-FFF2-40B4-BE49-F238E27FC236}">
                  <a16:creationId xmlns:a16="http://schemas.microsoft.com/office/drawing/2014/main" id="{00000000-0008-0000-0300-000007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Delete Chart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85725</xdr:colOff>
          <xdr:row>6</xdr:row>
          <xdr:rowOff>819150</xdr:rowOff>
        </xdr:from>
        <xdr:to>
          <xdr:col>11</xdr:col>
          <xdr:colOff>1085850</xdr:colOff>
          <xdr:row>7</xdr:row>
          <xdr:rowOff>171450</xdr:rowOff>
        </xdr:to>
        <xdr:sp macro="" textlink="">
          <xdr:nvSpPr>
            <xdr:cNvPr id="161800" name="Button 8" hidden="1">
              <a:extLst>
                <a:ext uri="{63B3BB69-23CF-44E3-9099-C40C66FF867C}">
                  <a14:compatExt spid="_x0000_s161800"/>
                </a:ext>
                <a:ext uri="{FF2B5EF4-FFF2-40B4-BE49-F238E27FC236}">
                  <a16:creationId xmlns:a16="http://schemas.microsoft.com/office/drawing/2014/main" id="{00000000-0008-0000-0300-000008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Add Chart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6</xdr:row>
          <xdr:rowOff>0</xdr:rowOff>
        </xdr:from>
        <xdr:to>
          <xdr:col>13</xdr:col>
          <xdr:colOff>276225</xdr:colOff>
          <xdr:row>6</xdr:row>
          <xdr:rowOff>342900</xdr:rowOff>
        </xdr:to>
        <xdr:sp macro="" textlink="">
          <xdr:nvSpPr>
            <xdr:cNvPr id="161803" name="Button 11" hidden="1">
              <a:extLst>
                <a:ext uri="{63B3BB69-23CF-44E3-9099-C40C66FF867C}">
                  <a14:compatExt spid="_x0000_s161803"/>
                </a:ext>
                <a:ext uri="{FF2B5EF4-FFF2-40B4-BE49-F238E27FC236}">
                  <a16:creationId xmlns:a16="http://schemas.microsoft.com/office/drawing/2014/main" id="{00000000-0008-0000-0300-00000B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sng" strike="noStrike" baseline="0">
                  <a:solidFill>
                    <a:srgbClr val="FF0000"/>
                  </a:solidFill>
                  <a:latin typeface="Calibri"/>
                  <a:ea typeface="Calibri"/>
                  <a:cs typeface="Calibri"/>
                </a:rPr>
                <a:t>Tear It All 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6</xdr:row>
          <xdr:rowOff>428625</xdr:rowOff>
        </xdr:from>
        <xdr:to>
          <xdr:col>13</xdr:col>
          <xdr:colOff>276225</xdr:colOff>
          <xdr:row>7</xdr:row>
          <xdr:rowOff>257175</xdr:rowOff>
        </xdr:to>
        <xdr:sp macro="" textlink="">
          <xdr:nvSpPr>
            <xdr:cNvPr id="161804" name="Button 12" hidden="1">
              <a:extLst>
                <a:ext uri="{63B3BB69-23CF-44E3-9099-C40C66FF867C}">
                  <a14:compatExt spid="_x0000_s161804"/>
                </a:ext>
                <a:ext uri="{FF2B5EF4-FFF2-40B4-BE49-F238E27FC236}">
                  <a16:creationId xmlns:a16="http://schemas.microsoft.com/office/drawing/2014/main" id="{00000000-0008-0000-0300-00000C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333333"/>
                  </a:solidFill>
                  <a:latin typeface="Arial"/>
                  <a:cs typeface="Arial"/>
                </a:rPr>
                <a:t>Had fun?</a:t>
              </a:r>
            </a:p>
            <a:p>
              <a:pPr algn="ctr" rtl="0">
                <a:defRPr sz="1000"/>
              </a:pPr>
              <a:r>
                <a:rPr lang="en-US" sz="900" b="0" i="0" u="none" strike="noStrike" baseline="0">
                  <a:solidFill>
                    <a:srgbClr val="333333"/>
                  </a:solidFill>
                  <a:latin typeface="Arial"/>
                  <a:cs typeface="Arial"/>
                </a:rPr>
                <a:t> </a:t>
              </a:r>
            </a:p>
            <a:p>
              <a:pPr algn="ctr" rtl="0">
                <a:defRPr sz="1000"/>
              </a:pPr>
              <a:r>
                <a:rPr lang="en-US" sz="900" b="0" i="0" u="none" strike="noStrike" baseline="0">
                  <a:solidFill>
                    <a:srgbClr val="333333"/>
                  </a:solidFill>
                  <a:latin typeface="Arial"/>
                  <a:cs typeface="Arial"/>
                </a:rPr>
                <a:t>Now, put it back together!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933450</xdr:colOff>
          <xdr:row>0</xdr:row>
          <xdr:rowOff>1095375</xdr:rowOff>
        </xdr:from>
        <xdr:to>
          <xdr:col>11</xdr:col>
          <xdr:colOff>609600</xdr:colOff>
          <xdr:row>0</xdr:row>
          <xdr:rowOff>1381125</xdr:rowOff>
        </xdr:to>
        <xdr:sp macro="" textlink="">
          <xdr:nvSpPr>
            <xdr:cNvPr id="161805" name="Button 13" hidden="1">
              <a:extLst>
                <a:ext uri="{63B3BB69-23CF-44E3-9099-C40C66FF867C}">
                  <a14:compatExt spid="_x0000_s161805"/>
                </a:ext>
                <a:ext uri="{FF2B5EF4-FFF2-40B4-BE49-F238E27FC236}">
                  <a16:creationId xmlns:a16="http://schemas.microsoft.com/office/drawing/2014/main" id="{00000000-0008-0000-0300-00000D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1" i="0" u="none" strike="noStrike" baseline="0">
                  <a:solidFill>
                    <a:srgbClr val="0066CC"/>
                  </a:solidFill>
                  <a:latin typeface="Calibri"/>
                  <a:ea typeface="Calibri"/>
                  <a:cs typeface="Calibri"/>
                </a:rPr>
                <a:t>Take the Chart Tour!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238125</xdr:colOff>
          <xdr:row>0</xdr:row>
          <xdr:rowOff>1219200</xdr:rowOff>
        </xdr:from>
        <xdr:to>
          <xdr:col>3</xdr:col>
          <xdr:colOff>1247775</xdr:colOff>
          <xdr:row>0</xdr:row>
          <xdr:rowOff>1381125</xdr:rowOff>
        </xdr:to>
        <xdr:sp macro="" textlink="">
          <xdr:nvSpPr>
            <xdr:cNvPr id="161811" name="Button 19" hidden="1">
              <a:extLst>
                <a:ext uri="{63B3BB69-23CF-44E3-9099-C40C66FF867C}">
                  <a14:compatExt spid="_x0000_s161811"/>
                </a:ext>
                <a:ext uri="{FF2B5EF4-FFF2-40B4-BE49-F238E27FC236}">
                  <a16:creationId xmlns:a16="http://schemas.microsoft.com/office/drawing/2014/main" id="{00000000-0008-0000-0300-000013780200}"/>
                </a:ext>
              </a:extLst>
            </xdr:cNvPr>
            <xdr:cNvSpPr/>
          </xdr:nvSpPr>
          <xdr:spPr bwMode="auto">
            <a:xfrm>
              <a:off x="0" y="0"/>
              <a:ext cx="0" cy="0"/>
            </a:xfrm>
            <a:prstGeom prst="rect">
              <a:avLst/>
            </a:prstGeom>
            <a:noFill/>
            <a:ln w="9525">
              <a:miter lim="800000"/>
              <a:headEnd/>
              <a:tailEnd/>
            </a:ln>
          </xdr:spPr>
          <xdr:txBody>
            <a:bodyPr vertOverflow="clip" wrap="square" lIns="27432" tIns="18288" rIns="0" bIns="18288" anchor="ctr" upright="1"/>
            <a:lstStyle/>
            <a:p>
              <a:pPr algn="l" rtl="0">
                <a:defRPr sz="1000"/>
              </a:pPr>
              <a:r>
                <a:rPr lang="en-US" sz="800" b="1" i="0" u="none" strike="noStrike" baseline="0">
                  <a:solidFill>
                    <a:srgbClr val="000000"/>
                  </a:solidFill>
                  <a:latin typeface="Verdana"/>
                  <a:ea typeface="Verdana"/>
                </a:rPr>
                <a:t>Set Global Zoom</a:t>
              </a:r>
            </a:p>
          </xdr:txBody>
        </xdr:sp>
        <xdr:clientData fPrintsWithSheet="0"/>
      </xdr:twoCellAnchor>
    </mc:Choice>
    <mc:Fallback/>
  </mc:AlternateContent>
  <xdr:twoCellAnchor editAs="oneCell">
    <xdr:from>
      <xdr:col>12</xdr:col>
      <xdr:colOff>85725</xdr:colOff>
      <xdr:row>0</xdr:row>
      <xdr:rowOff>1095404</xdr:rowOff>
    </xdr:from>
    <xdr:to>
      <xdr:col>13</xdr:col>
      <xdr:colOff>235982</xdr:colOff>
      <xdr:row>0</xdr:row>
      <xdr:rowOff>1381125</xdr:rowOff>
    </xdr:to>
    <xdr:pic macro="[0]!btn_Zoom_In_Click">
      <xdr:nvPicPr>
        <xdr:cNvPr id="27" name="btn_Zoom_InCSS">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18"/>
        <a:stretch>
          <a:fillRect/>
        </a:stretch>
      </xdr:blipFill>
      <xdr:spPr>
        <a:xfrm>
          <a:off x="9621308" y="1095404"/>
          <a:ext cx="742924" cy="285721"/>
        </a:xfrm>
        <a:prstGeom prst="rect">
          <a:avLst/>
        </a:prstGeom>
      </xdr:spPr>
    </xdr:pic>
    <xdr:clientData/>
  </xdr:twoCellAnchor>
  <xdr:twoCellAnchor editAs="oneCell">
    <xdr:from>
      <xdr:col>12</xdr:col>
      <xdr:colOff>85725</xdr:colOff>
      <xdr:row>1</xdr:row>
      <xdr:rowOff>7</xdr:rowOff>
    </xdr:from>
    <xdr:to>
      <xdr:col>13</xdr:col>
      <xdr:colOff>235981</xdr:colOff>
      <xdr:row>2</xdr:row>
      <xdr:rowOff>126978</xdr:rowOff>
    </xdr:to>
    <xdr:pic macro="[0]!btn_Zoom_Out_Click">
      <xdr:nvPicPr>
        <xdr:cNvPr id="30" name="btn_Zoom_OutCSS">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19"/>
        <a:stretch>
          <a:fillRect/>
        </a:stretch>
      </xdr:blipFill>
      <xdr:spPr>
        <a:xfrm>
          <a:off x="9621308" y="1386424"/>
          <a:ext cx="742923" cy="285721"/>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85725</xdr:colOff>
          <xdr:row>4</xdr:row>
          <xdr:rowOff>352425</xdr:rowOff>
        </xdr:from>
        <xdr:to>
          <xdr:col>13</xdr:col>
          <xdr:colOff>276225</xdr:colOff>
          <xdr:row>4</xdr:row>
          <xdr:rowOff>581025</xdr:rowOff>
        </xdr:to>
        <xdr:sp macro="" textlink="">
          <xdr:nvSpPr>
            <xdr:cNvPr id="161812" name="Button 20" hidden="1">
              <a:extLst>
                <a:ext uri="{63B3BB69-23CF-44E3-9099-C40C66FF867C}">
                  <a14:compatExt spid="_x0000_s161812"/>
                </a:ext>
                <a:ext uri="{FF2B5EF4-FFF2-40B4-BE49-F238E27FC236}">
                  <a16:creationId xmlns:a16="http://schemas.microsoft.com/office/drawing/2014/main" id="{00000000-0008-0000-0300-000014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Hide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4</xdr:row>
          <xdr:rowOff>590550</xdr:rowOff>
        </xdr:from>
        <xdr:to>
          <xdr:col>13</xdr:col>
          <xdr:colOff>276225</xdr:colOff>
          <xdr:row>4</xdr:row>
          <xdr:rowOff>819150</xdr:rowOff>
        </xdr:to>
        <xdr:sp macro="" textlink="">
          <xdr:nvSpPr>
            <xdr:cNvPr id="161813" name="Button 21" hidden="1">
              <a:extLst>
                <a:ext uri="{63B3BB69-23CF-44E3-9099-C40C66FF867C}">
                  <a14:compatExt spid="_x0000_s161813"/>
                </a:ext>
                <a:ext uri="{FF2B5EF4-FFF2-40B4-BE49-F238E27FC236}">
                  <a16:creationId xmlns:a16="http://schemas.microsoft.com/office/drawing/2014/main" id="{00000000-0008-0000-0300-000015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Unhide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85725</xdr:colOff>
          <xdr:row>3</xdr:row>
          <xdr:rowOff>104775</xdr:rowOff>
        </xdr:from>
        <xdr:to>
          <xdr:col>13</xdr:col>
          <xdr:colOff>276225</xdr:colOff>
          <xdr:row>4</xdr:row>
          <xdr:rowOff>238125</xdr:rowOff>
        </xdr:to>
        <xdr:sp macro="" textlink="">
          <xdr:nvSpPr>
            <xdr:cNvPr id="161815" name="Button 23" hidden="1">
              <a:extLst>
                <a:ext uri="{63B3BB69-23CF-44E3-9099-C40C66FF867C}">
                  <a14:compatExt spid="_x0000_s161815"/>
                </a:ext>
                <a:ext uri="{FF2B5EF4-FFF2-40B4-BE49-F238E27FC236}">
                  <a16:creationId xmlns:a16="http://schemas.microsoft.com/office/drawing/2014/main" id="{00000000-0008-0000-0300-00001778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Calibri"/>
                  <a:ea typeface="Calibri"/>
                  <a:cs typeface="Calibri"/>
                </a:rPr>
                <a:t>Resize Excel Window</a:t>
              </a:r>
            </a:p>
          </xdr:txBody>
        </xdr:sp>
        <xdr:clientData fPrintsWithSheet="0"/>
      </xdr:twoCellAnchor>
    </mc:Choice>
    <mc:Fallback/>
  </mc:AlternateContent>
  <xdr:twoCellAnchor>
    <xdr:from>
      <xdr:col>11</xdr:col>
      <xdr:colOff>1083470</xdr:colOff>
      <xdr:row>0</xdr:row>
      <xdr:rowOff>369094</xdr:rowOff>
    </xdr:from>
    <xdr:to>
      <xdr:col>15</xdr:col>
      <xdr:colOff>381000</xdr:colOff>
      <xdr:row>0</xdr:row>
      <xdr:rowOff>829989</xdr:rowOff>
    </xdr:to>
    <xdr:sp macro="" textlink="">
      <xdr:nvSpPr>
        <xdr:cNvPr id="33" name="TextBox 3">
          <a:extLst>
            <a:ext uri="{FF2B5EF4-FFF2-40B4-BE49-F238E27FC236}">
              <a16:creationId xmlns:a16="http://schemas.microsoft.com/office/drawing/2014/main" id="{00000000-0008-0000-0300-000021000000}"/>
            </a:ext>
          </a:extLst>
        </xdr:cNvPr>
        <xdr:cNvSpPr txBox="1"/>
      </xdr:nvSpPr>
      <xdr:spPr>
        <a:xfrm>
          <a:off x="9208295" y="369094"/>
          <a:ext cx="2307430" cy="460895"/>
        </a:xfrm>
        <a:prstGeom prst="rect">
          <a:avLst/>
        </a:prstGeom>
        <a:solidFill>
          <a:sysClr val="window" lastClr="FFFFFF"/>
        </a:solidFill>
        <a:ln w="19050">
          <a:solidFill>
            <a:schemeClr val="accent1"/>
          </a:solidFill>
        </a:ln>
      </xdr:spPr>
      <xdr:txBody>
        <a:bodyPr wrap="square" tIns="18288" bIns="0" rtlCol="0">
          <a:spAutoFit/>
        </a:bodyPr>
        <a:lstStyle>
          <a:defPPr>
            <a:defRPr lang="en-US"/>
          </a:defPPr>
          <a:lvl1pPr algn="l" rtl="0" fontAlgn="base">
            <a:spcBef>
              <a:spcPct val="0"/>
            </a:spcBef>
            <a:spcAft>
              <a:spcPct val="0"/>
            </a:spcAft>
            <a:defRPr sz="2400" kern="1200">
              <a:solidFill>
                <a:schemeClr val="tx1"/>
              </a:solidFill>
              <a:latin typeface="Times New Roman" panose="02020603050405020304" pitchFamily="18" charset="0"/>
              <a:ea typeface="+mn-ea"/>
              <a:cs typeface="+mn-cs"/>
            </a:defRPr>
          </a:lvl1pPr>
          <a:lvl2pPr marL="457200" algn="l" rtl="0" fontAlgn="base">
            <a:spcBef>
              <a:spcPct val="0"/>
            </a:spcBef>
            <a:spcAft>
              <a:spcPct val="0"/>
            </a:spcAft>
            <a:defRPr sz="2400" kern="1200">
              <a:solidFill>
                <a:schemeClr val="tx1"/>
              </a:solidFill>
              <a:latin typeface="Times New Roman" panose="02020603050405020304" pitchFamily="18" charset="0"/>
              <a:ea typeface="+mn-ea"/>
              <a:cs typeface="+mn-cs"/>
            </a:defRPr>
          </a:lvl2pPr>
          <a:lvl3pPr marL="914400" algn="l" rtl="0" fontAlgn="base">
            <a:spcBef>
              <a:spcPct val="0"/>
            </a:spcBef>
            <a:spcAft>
              <a:spcPct val="0"/>
            </a:spcAft>
            <a:defRPr sz="2400" kern="1200">
              <a:solidFill>
                <a:schemeClr val="tx1"/>
              </a:solidFill>
              <a:latin typeface="Times New Roman" panose="02020603050405020304" pitchFamily="18" charset="0"/>
              <a:ea typeface="+mn-ea"/>
              <a:cs typeface="+mn-cs"/>
            </a:defRPr>
          </a:lvl3pPr>
          <a:lvl4pPr marL="1371600" algn="l" rtl="0" fontAlgn="base">
            <a:spcBef>
              <a:spcPct val="0"/>
            </a:spcBef>
            <a:spcAft>
              <a:spcPct val="0"/>
            </a:spcAft>
            <a:defRPr sz="2400" kern="1200">
              <a:solidFill>
                <a:schemeClr val="tx1"/>
              </a:solidFill>
              <a:latin typeface="Times New Roman" panose="02020603050405020304" pitchFamily="18" charset="0"/>
              <a:ea typeface="+mn-ea"/>
              <a:cs typeface="+mn-cs"/>
            </a:defRPr>
          </a:lvl4pPr>
          <a:lvl5pPr marL="1828800" algn="l" rtl="0" fontAlgn="base">
            <a:spcBef>
              <a:spcPct val="0"/>
            </a:spcBef>
            <a:spcAft>
              <a:spcPct val="0"/>
            </a:spcAft>
            <a:defRPr sz="2400" kern="1200">
              <a:solidFill>
                <a:schemeClr val="tx1"/>
              </a:solidFill>
              <a:latin typeface="Times New Roman" panose="02020603050405020304" pitchFamily="18" charset="0"/>
              <a:ea typeface="+mn-ea"/>
              <a:cs typeface="+mn-cs"/>
            </a:defRPr>
          </a:lvl5pPr>
          <a:lvl6pPr marL="2286000" algn="l" defTabSz="914400" rtl="0" eaLnBrk="1" latinLnBrk="0" hangingPunct="1">
            <a:defRPr sz="2400" kern="1200">
              <a:solidFill>
                <a:schemeClr val="tx1"/>
              </a:solidFill>
              <a:latin typeface="Times New Roman" panose="02020603050405020304" pitchFamily="18" charset="0"/>
              <a:ea typeface="+mn-ea"/>
              <a:cs typeface="+mn-cs"/>
            </a:defRPr>
          </a:lvl6pPr>
          <a:lvl7pPr marL="2743200" algn="l" defTabSz="914400" rtl="0" eaLnBrk="1" latinLnBrk="0" hangingPunct="1">
            <a:defRPr sz="2400" kern="1200">
              <a:solidFill>
                <a:schemeClr val="tx1"/>
              </a:solidFill>
              <a:latin typeface="Times New Roman" panose="02020603050405020304" pitchFamily="18" charset="0"/>
              <a:ea typeface="+mn-ea"/>
              <a:cs typeface="+mn-cs"/>
            </a:defRPr>
          </a:lvl7pPr>
          <a:lvl8pPr marL="3200400" algn="l" defTabSz="914400" rtl="0" eaLnBrk="1" latinLnBrk="0" hangingPunct="1">
            <a:defRPr sz="2400" kern="1200">
              <a:solidFill>
                <a:schemeClr val="tx1"/>
              </a:solidFill>
              <a:latin typeface="Times New Roman" panose="02020603050405020304" pitchFamily="18" charset="0"/>
              <a:ea typeface="+mn-ea"/>
              <a:cs typeface="+mn-cs"/>
            </a:defRPr>
          </a:lvl8pPr>
          <a:lvl9pPr marL="3657600" algn="l" defTabSz="914400" rtl="0" eaLnBrk="1" latinLnBrk="0" hangingPunct="1">
            <a:defRPr sz="2400" kern="1200">
              <a:solidFill>
                <a:schemeClr val="tx1"/>
              </a:solidFill>
              <a:latin typeface="Times New Roman" panose="02020603050405020304" pitchFamily="18" charset="0"/>
              <a:ea typeface="+mn-ea"/>
              <a:cs typeface="+mn-cs"/>
            </a:defRPr>
          </a:lvl9pPr>
        </a:lstStyle>
        <a:p>
          <a:r>
            <a:rPr lang="en-US" sz="1000">
              <a:solidFill>
                <a:schemeClr val="accent1"/>
              </a:solidFill>
              <a:latin typeface="Arial" panose="020B0604020202020204" pitchFamily="34" charset="0"/>
              <a:cs typeface="Arial" panose="020B0604020202020204" pitchFamily="34" charset="0"/>
            </a:rPr>
            <a:t>Rich Sweeny</a:t>
          </a:r>
        </a:p>
        <a:p>
          <a:r>
            <a:rPr lang="en-US" sz="1000">
              <a:solidFill>
                <a:schemeClr val="accent1"/>
              </a:solidFill>
              <a:latin typeface="Arial" panose="020B0604020202020204" pitchFamily="34" charset="0"/>
              <a:cs typeface="Arial" panose="020B0604020202020204" pitchFamily="34" charset="0"/>
            </a:rPr>
            <a:t>RichSweeny@SweenyWasHere.com</a:t>
          </a:r>
        </a:p>
        <a:p>
          <a:r>
            <a:rPr lang="en-US" sz="1000">
              <a:solidFill>
                <a:schemeClr val="accent1"/>
              </a:solidFill>
              <a:latin typeface="Arial" panose="020B0604020202020204" pitchFamily="34" charset="0"/>
              <a:cs typeface="Arial" panose="020B0604020202020204" pitchFamily="34" charset="0"/>
            </a:rPr>
            <a:t>516-359-6454</a:t>
          </a:r>
        </a:p>
      </xdr:txBody>
    </xdr:sp>
    <xdr:clientData/>
  </xdr:twoCellAnchor>
</xdr:wsDr>
</file>

<file path=xl/drawings/drawing5.xml><?xml version="1.0" encoding="utf-8"?>
<xdr:wsDr xmlns:xdr="http://schemas.openxmlformats.org/drawingml/2006/spreadsheetDrawing" xmlns:a="http://schemas.openxmlformats.org/drawingml/2006/main">
  <xdr:absoluteAnchor>
    <xdr:pos x="0" y="0"/>
    <xdr:ext cx="9036844" cy="6750844"/>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0.81725</cdr:x>
      <cdr:y>0</cdr:y>
    </cdr:from>
    <cdr:to>
      <cdr:x>0.991</cdr:x>
      <cdr:y>0.1255</cdr:y>
    </cdr:to>
    <cdr:pic>
      <cdr:nvPicPr>
        <cdr:cNvPr id="66565" name="Picture 5" descr="_Mobile3x8 12-21-03">
          <a:extLst xmlns:a="http://schemas.openxmlformats.org/drawingml/2006/main">
            <a:ext uri="{FF2B5EF4-FFF2-40B4-BE49-F238E27FC236}">
              <a16:creationId xmlns:a16="http://schemas.microsoft.com/office/drawing/2014/main" id="{F7BB5BE6-857E-8A29-FC69-1253428615B3}"/>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7387307" y="0"/>
          <a:ext cx="1570565" cy="847530"/>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0.08915</cdr:x>
      <cdr:y>0.16094</cdr:y>
    </cdr:from>
    <cdr:to>
      <cdr:x>0.1549</cdr:x>
      <cdr:y>0.19669</cdr:y>
    </cdr:to>
    <cdr:grpSp>
      <cdr:nvGrpSpPr>
        <cdr:cNvPr id="66582" name="Group 22">
          <a:extLst xmlns:a="http://schemas.openxmlformats.org/drawingml/2006/main">
            <a:ext uri="{FF2B5EF4-FFF2-40B4-BE49-F238E27FC236}">
              <a16:creationId xmlns:a16="http://schemas.microsoft.com/office/drawing/2014/main" id="{224571DE-CBBC-4CF4-23FF-9152E4CF5957}"/>
            </a:ext>
          </a:extLst>
        </cdr:cNvPr>
        <cdr:cNvGrpSpPr>
          <a:grpSpLocks xmlns:a="http://schemas.openxmlformats.org/drawingml/2006/main"/>
        </cdr:cNvGrpSpPr>
      </cdr:nvGrpSpPr>
      <cdr:grpSpPr bwMode="auto">
        <a:xfrm xmlns:a="http://schemas.openxmlformats.org/drawingml/2006/main">
          <a:off x="805635" y="1086481"/>
          <a:ext cx="594172" cy="241343"/>
          <a:chOff x="824979" y="1120585"/>
          <a:chExt cx="771030" cy="247212"/>
        </a:xfrm>
      </cdr:grpSpPr>
      <cdr:sp macro="" textlink="">
        <cdr:nvSpPr>
          <cdr:cNvPr id="66583" name="Text Box 23"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66584" name="Line 24"/>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0.6279</cdr:x>
      <cdr:y>0.18513</cdr:y>
    </cdr:from>
    <cdr:to>
      <cdr:x>0.90765</cdr:x>
      <cdr:y>0.33737</cdr:y>
    </cdr:to>
    <cdr:sp macro="" textlink="">
      <cdr:nvSpPr>
        <cdr:cNvPr id="66593" name="Oval 33"/>
        <cdr:cNvSpPr>
          <a:spLocks xmlns:a="http://schemas.openxmlformats.org/drawingml/2006/main" noChangeArrowheads="1"/>
        </cdr:cNvSpPr>
      </cdr:nvSpPr>
      <cdr:spPr bwMode="auto">
        <a:xfrm xmlns:a="http://schemas.openxmlformats.org/drawingml/2006/main">
          <a:off x="5664583" y="1246957"/>
          <a:ext cx="2523774" cy="1025436"/>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lgn="ctr">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32004" rIns="36576" bIns="0" anchor="t" upright="1"/>
        <a:lstStyle xmlns:a="http://schemas.openxmlformats.org/drawingml/2006/main"/>
        <a:p xmlns:a="http://schemas.openxmlformats.org/drawingml/2006/main">
          <a:pPr algn="ctr" rtl="0">
            <a:defRPr sz="1000"/>
          </a:pPr>
          <a:r>
            <a:rPr lang="en-US" sz="1550" b="1" i="0" u="none" strike="noStrike" baseline="0">
              <a:solidFill>
                <a:srgbClr val="0000FF"/>
              </a:solidFill>
              <a:latin typeface="Arial"/>
              <a:cs typeface="Arial"/>
            </a:rPr>
            <a:t>Average Savings Over Past Nine Months = 45% !</a:t>
          </a:r>
        </a:p>
      </cdr:txBody>
    </cdr:sp>
  </cdr:relSizeAnchor>
  <cdr:relSizeAnchor xmlns:cdr="http://schemas.openxmlformats.org/drawingml/2006/chartDrawing">
    <cdr:from>
      <cdr:x>0</cdr:x>
      <cdr:y>0.022</cdr:y>
    </cdr:from>
    <cdr:to>
      <cdr:x>0.20145</cdr:x>
      <cdr:y>0.04855</cdr:y>
    </cdr:to>
    <cdr:sp macro="" textlink="">
      <cdr:nvSpPr>
        <cdr:cNvPr id="66594"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48315"/>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0.047</cdr:y>
    </cdr:from>
    <cdr:to>
      <cdr:x>0.11174</cdr:x>
      <cdr:y>0.07355</cdr:y>
    </cdr:to>
    <cdr:sp macro="" textlink="">
      <cdr:nvSpPr>
        <cdr:cNvPr id="66595"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16854"/>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0.13457</cdr:x>
      <cdr:y>0.02655</cdr:y>
    </cdr:to>
    <cdr:sp macro="" textlink="">
      <cdr:nvSpPr>
        <cdr:cNvPr id="66596"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0.90759</cdr:x>
      <cdr:y>0.16512</cdr:y>
    </cdr:from>
    <cdr:to>
      <cdr:x>0.99457</cdr:x>
      <cdr:y>0.20182</cdr:y>
    </cdr:to>
    <cdr:grpSp>
      <cdr:nvGrpSpPr>
        <cdr:cNvPr id="21" name="Group 20">
          <a:extLst xmlns:a="http://schemas.openxmlformats.org/drawingml/2006/main">
            <a:ext uri="{FF2B5EF4-FFF2-40B4-BE49-F238E27FC236}">
              <a16:creationId xmlns:a16="http://schemas.microsoft.com/office/drawing/2014/main" id="{E5CAC906-BA81-612C-F589-100A76A80AC9}"/>
            </a:ext>
          </a:extLst>
        </cdr:cNvPr>
        <cdr:cNvGrpSpPr>
          <a:grpSpLocks xmlns:a="http://schemas.openxmlformats.org/drawingml/2006/main"/>
        </cdr:cNvGrpSpPr>
      </cdr:nvGrpSpPr>
      <cdr:grpSpPr bwMode="auto">
        <a:xfrm xmlns:a="http://schemas.openxmlformats.org/drawingml/2006/main">
          <a:off x="8201749" y="1114699"/>
          <a:ext cx="786025" cy="247756"/>
          <a:chOff x="0" y="55878"/>
          <a:chExt cx="1019914" cy="253800"/>
        </a:xfrm>
      </cdr:grpSpPr>
      <cdr:sp macro="" textlink="">
        <cdr:nvSpPr>
          <cdr:cNvPr id="22" name="Text Box 23" descr="Slattery-Skanska&#10;Wireless Review&#10;January 2004&#10;Carrier Comparison">
            <a:extLst xmlns:a="http://schemas.openxmlformats.org/drawingml/2006/main">
              <a:ext uri="{FF2B5EF4-FFF2-40B4-BE49-F238E27FC236}">
                <a16:creationId xmlns:a16="http://schemas.microsoft.com/office/drawing/2014/main" id="{25C5369C-8C93-736B-15CC-118CD505633A}"/>
              </a:ext>
            </a:extLst>
          </cdr:cNvPr>
          <cdr:cNvSpPr txBox="1">
            <a:spLocks xmlns:a="http://schemas.openxmlformats.org/drawingml/2006/main" noChangeArrowheads="1"/>
          </cdr:cNvSpPr>
        </cdr:nvSpPr>
        <cdr:spPr bwMode="auto">
          <a:xfrm xmlns:a="http://schemas.openxmlformats.org/drawingml/2006/main">
            <a:off x="17687" y="55878"/>
            <a:ext cx="1002227" cy="253800"/>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27432" tIns="18288" rIns="27432" bIns="0" anchor="t" upright="1"/>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rtl="0">
              <a:defRPr sz="1000"/>
            </a:pPr>
            <a:r>
              <a:rPr lang="en-US" sz="700" b="1" i="0" u="none" strike="noStrike" baseline="0">
                <a:solidFill>
                  <a:srgbClr val="000000"/>
                </a:solidFill>
                <a:latin typeface="Verdana"/>
                <a:ea typeface="Verdana"/>
                <a:cs typeface="Verdana"/>
              </a:rPr>
              <a:t>Average </a:t>
            </a:r>
          </a:p>
          <a:p xmlns:a="http://schemas.openxmlformats.org/drawingml/2006/main">
            <a:pPr algn="ctr" rtl="0">
              <a:defRPr sz="1000"/>
            </a:pPr>
            <a:r>
              <a:rPr lang="en-US" sz="700" b="1" i="0" u="none" strike="noStrike" baseline="0">
                <a:solidFill>
                  <a:srgbClr val="000000"/>
                </a:solidFill>
                <a:latin typeface="Verdana"/>
                <a:ea typeface="Verdana"/>
                <a:cs typeface="Verdana"/>
              </a:rPr>
              <a:t>avings</a:t>
            </a:r>
          </a:p>
        </cdr:txBody>
      </cdr:sp>
      <cdr:sp macro="" textlink="">
        <cdr:nvSpPr>
          <cdr:cNvPr id="23" name="Line 24">
            <a:extLst xmlns:a="http://schemas.openxmlformats.org/drawingml/2006/main">
              <a:ext uri="{FF2B5EF4-FFF2-40B4-BE49-F238E27FC236}">
                <a16:creationId xmlns:a16="http://schemas.microsoft.com/office/drawing/2014/main" id="{67079323-1EB3-20E9-06DE-79D90AB95C25}"/>
              </a:ext>
            </a:extLst>
          </cdr:cNvPr>
          <cdr:cNvSpPr>
            <a:spLocks xmlns:a="http://schemas.openxmlformats.org/drawingml/2006/main" noChangeShapeType="1"/>
          </cdr:cNvSpPr>
        </cdr:nvSpPr>
        <cdr:spPr bwMode="auto">
          <a:xfrm xmlns:a="http://schemas.openxmlformats.org/drawingml/2006/main">
            <a:off x="0" y="292369"/>
            <a:ext cx="1002227"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a:lstStyle xmlns:a="http://schemas.openxmlformats.org/drawingml/2006/main"/>
          <a:p xmlns:a="http://schemas.openxmlformats.org/drawingml/2006/main">
            <a:endParaRPr lang="en-US"/>
          </a:p>
        </cdr:txBody>
      </cdr:sp>
    </cdr:grpSp>
  </cdr:relSizeAnchor>
  <cdr:relSizeAnchor xmlns:cdr="http://schemas.openxmlformats.org/drawingml/2006/chartDrawing">
    <cdr:from>
      <cdr:x>0</cdr:x>
      <cdr:y>0.07825</cdr:y>
    </cdr:from>
    <cdr:to>
      <cdr:x>0.22323</cdr:x>
      <cdr:y>0.14008</cdr:y>
    </cdr:to>
    <cdr:sp macro="" textlink="">
      <cdr:nvSpPr>
        <cdr:cNvPr id="9"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27050"/>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0.23212</cdr:x>
      <cdr:y>0</cdr:y>
    </cdr:from>
    <cdr:to>
      <cdr:x>0.31441</cdr:x>
      <cdr:y>0.04238</cdr:y>
    </cdr:to>
    <cdr:pic macro="[0]!btn_Home_Click">
      <cdr:nvPicPr>
        <cdr:cNvPr id="8" name="btn_HomeCSS">
          <a:extLst xmlns:a="http://schemas.openxmlformats.org/drawingml/2006/main">
            <a:ext uri="{FF2B5EF4-FFF2-40B4-BE49-F238E27FC236}">
              <a16:creationId xmlns:a16="http://schemas.microsoft.com/office/drawing/2014/main" id="{4559856C-6C26-ED2F-1914-2A5ABA31A48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0.31372</cdr:x>
      <cdr:y>0</cdr:y>
    </cdr:from>
    <cdr:to>
      <cdr:x>0.396</cdr:x>
      <cdr:y>0.04238</cdr:y>
    </cdr:to>
    <cdr:pic macro="[0]!btn_Next_Click">
      <cdr:nvPicPr>
        <cdr:cNvPr id="10" name="btn_NextCSS">
          <a:extLst xmlns:a="http://schemas.openxmlformats.org/drawingml/2006/main">
            <a:ext uri="{FF2B5EF4-FFF2-40B4-BE49-F238E27FC236}">
              <a16:creationId xmlns:a16="http://schemas.microsoft.com/office/drawing/2014/main" id="{8BF935C4-CB93-29A1-5F8F-1111D4081F9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0.39531</cdr:x>
      <cdr:y>0</cdr:y>
    </cdr:from>
    <cdr:to>
      <cdr:x>0.4776</cdr:x>
      <cdr:y>0.04238</cdr:y>
    </cdr:to>
    <cdr:pic macro="[0]!btn_Previous_Click">
      <cdr:nvPicPr>
        <cdr:cNvPr id="11" name="btn_PreviousCSS">
          <a:extLst xmlns:a="http://schemas.openxmlformats.org/drawingml/2006/main">
            <a:ext uri="{FF2B5EF4-FFF2-40B4-BE49-F238E27FC236}">
              <a16:creationId xmlns:a16="http://schemas.microsoft.com/office/drawing/2014/main" id="{70DA71AB-5398-8D38-FD1C-40C07BCB796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0.47691</cdr:x>
      <cdr:y>0</cdr:y>
    </cdr:from>
    <cdr:to>
      <cdr:x>0.55919</cdr:x>
      <cdr:y>0.04238</cdr:y>
    </cdr:to>
    <cdr:pic macro="[0]!btn_Zoom_In_Click">
      <cdr:nvPicPr>
        <cdr:cNvPr id="12" name="btn_Zoom_InCSS">
          <a:extLst xmlns:a="http://schemas.openxmlformats.org/drawingml/2006/main">
            <a:ext uri="{FF2B5EF4-FFF2-40B4-BE49-F238E27FC236}">
              <a16:creationId xmlns:a16="http://schemas.microsoft.com/office/drawing/2014/main" id="{85A2709F-D86B-FE4E-D590-AF32D3BFC8A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0.5585</cdr:x>
      <cdr:y>0</cdr:y>
    </cdr:from>
    <cdr:to>
      <cdr:x>0.64079</cdr:x>
      <cdr:y>0.04238</cdr:y>
    </cdr:to>
    <cdr:pic macro="[0]!btn_Zoom_Out_Click">
      <cdr:nvPicPr>
        <cdr:cNvPr id="13" name="btn_Zoom_OutCSS">
          <a:extLst xmlns:a="http://schemas.openxmlformats.org/drawingml/2006/main">
            <a:ext uri="{FF2B5EF4-FFF2-40B4-BE49-F238E27FC236}">
              <a16:creationId xmlns:a16="http://schemas.microsoft.com/office/drawing/2014/main" id="{B7B10033-5A04-E1B9-64D4-751D16C6FBF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0.64009</cdr:x>
      <cdr:y>0</cdr:y>
    </cdr:from>
    <cdr:to>
      <cdr:x>0.75403</cdr:x>
      <cdr:y>0.04238</cdr:y>
    </cdr:to>
    <cdr:pic macro="[0]!btn_Print_Click">
      <cdr:nvPicPr>
        <cdr:cNvPr id="14" name="btn_PrintCSS">
          <a:extLst xmlns:a="http://schemas.openxmlformats.org/drawingml/2006/main">
            <a:ext uri="{FF2B5EF4-FFF2-40B4-BE49-F238E27FC236}">
              <a16:creationId xmlns:a16="http://schemas.microsoft.com/office/drawing/2014/main" id="{AE41C362-172A-53EF-57E7-833E7127A70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7.xml><?xml version="1.0" encoding="utf-8"?>
<xdr:wsDr xmlns:xdr="http://schemas.openxmlformats.org/drawingml/2006/spreadsheetDrawing" xmlns:a="http://schemas.openxmlformats.org/drawingml/2006/main">
  <xdr:absoluteAnchor>
    <xdr:pos x="0" y="0"/>
    <xdr:ext cx="9489281" cy="6977062"/>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8.xml><?xml version="1.0" encoding="utf-8"?>
<c:userShapes xmlns:c="http://schemas.openxmlformats.org/drawingml/2006/chart">
  <cdr:relSizeAnchor xmlns:cdr="http://schemas.openxmlformats.org/drawingml/2006/chartDrawing">
    <cdr:from>
      <cdr:x>0.81375</cdr:x>
      <cdr:y>0</cdr:y>
    </cdr:from>
    <cdr:to>
      <cdr:x>0.98425</cdr:x>
      <cdr:y>0.1255</cdr:y>
    </cdr:to>
    <cdr:pic>
      <cdr:nvPicPr>
        <cdr:cNvPr id="63492" name="Picture 4" descr="_Mobile3x8 12-21-03">
          <a:extLst xmlns:a="http://schemas.openxmlformats.org/drawingml/2006/main">
            <a:ext uri="{FF2B5EF4-FFF2-40B4-BE49-F238E27FC236}">
              <a16:creationId xmlns:a16="http://schemas.microsoft.com/office/drawing/2014/main" id="{5497DA8E-EF8D-F7A1-E7A8-652BB5E646B6}"/>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7727716" y="0"/>
          <a:ext cx="1619140" cy="876219"/>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0.20275</cdr:x>
      <cdr:y>0.255</cdr:y>
    </cdr:from>
    <cdr:to>
      <cdr:x>0.503</cdr:x>
      <cdr:y>0.46775</cdr:y>
    </cdr:to>
    <cdr:sp macro="" textlink="">
      <cdr:nvSpPr>
        <cdr:cNvPr id="63510" name="Oval 22"/>
        <cdr:cNvSpPr>
          <a:spLocks xmlns:a="http://schemas.openxmlformats.org/drawingml/2006/main" noChangeArrowheads="1"/>
        </cdr:cNvSpPr>
      </cdr:nvSpPr>
      <cdr:spPr bwMode="auto">
        <a:xfrm xmlns:a="http://schemas.openxmlformats.org/drawingml/2006/main">
          <a:off x="1925400" y="1780365"/>
          <a:ext cx="2851302" cy="1485384"/>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lgn="ctr">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32004" rIns="36576" bIns="0" anchor="t" upright="1"/>
        <a:lstStyle xmlns:a="http://schemas.openxmlformats.org/drawingml/2006/main"/>
        <a:p xmlns:a="http://schemas.openxmlformats.org/drawingml/2006/main">
          <a:pPr algn="ctr" rtl="0">
            <a:defRPr sz="1000"/>
          </a:pPr>
          <a:r>
            <a:rPr lang="en-US" sz="1600" b="1" i="0" u="none" strike="noStrike" baseline="0">
              <a:solidFill>
                <a:srgbClr val="0000FF"/>
              </a:solidFill>
              <a:latin typeface="Arial"/>
              <a:cs typeface="Arial"/>
            </a:rPr>
            <a:t>12 Month Cumulative NET Savings on 481 Phones = $253,811*</a:t>
          </a:r>
        </a:p>
      </cdr:txBody>
    </cdr:sp>
  </cdr:relSizeAnchor>
  <cdr:relSizeAnchor xmlns:cdr="http://schemas.openxmlformats.org/drawingml/2006/chartDrawing">
    <cdr:from>
      <cdr:x>0</cdr:x>
      <cdr:y>0.029</cdr:y>
    </cdr:from>
    <cdr:to>
      <cdr:x>0.19179</cdr:x>
      <cdr:y>0.0547</cdr:y>
    </cdr:to>
    <cdr:sp macro="" textlink="">
      <cdr:nvSpPr>
        <cdr:cNvPr id="63512"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201951"/>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0.05175</cdr:y>
    </cdr:from>
    <cdr:to>
      <cdr:x>0.10638</cdr:x>
      <cdr:y>0.07745</cdr:y>
    </cdr:to>
    <cdr:sp macro="" textlink="">
      <cdr:nvSpPr>
        <cdr:cNvPr id="63513"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60378"/>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0.0045</cdr:y>
    </cdr:from>
    <cdr:to>
      <cdr:x>0.12812</cdr:x>
      <cdr:y>0.0302</cdr:y>
    </cdr:to>
    <cdr:sp macro="" textlink="">
      <cdr:nvSpPr>
        <cdr:cNvPr id="63514"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1337"/>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0.15208</cdr:x>
      <cdr:y>0.8847</cdr:y>
    </cdr:from>
    <cdr:to>
      <cdr:x>0.90244</cdr:x>
      <cdr:y>0.90918</cdr:y>
    </cdr:to>
    <cdr:sp macro="" textlink="">
      <cdr:nvSpPr>
        <cdr:cNvPr id="63520" name="Text Box 32"/>
        <cdr:cNvSpPr txBox="1">
          <a:spLocks xmlns:a="http://schemas.openxmlformats.org/drawingml/2006/main" noChangeArrowheads="1"/>
        </cdr:cNvSpPr>
      </cdr:nvSpPr>
      <cdr:spPr bwMode="auto">
        <a:xfrm xmlns:a="http://schemas.openxmlformats.org/drawingml/2006/main">
          <a:off x="1442354" y="6163584"/>
          <a:ext cx="7116548" cy="170548"/>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0000" mc:Ignorable="a14" a14:legacySpreadsheetColorIndex="8"/>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square" lIns="18288"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chemeClr val="accent1"/>
              </a:solidFill>
              <a:latin typeface="Arial"/>
              <a:cs typeface="Arial"/>
            </a:rPr>
            <a:t>* Net Savings shown is AFTER all fees paid to Mobile Enterprises including initial implementation fee.</a:t>
          </a:r>
        </a:p>
      </cdr:txBody>
    </cdr:sp>
  </cdr:relSizeAnchor>
  <cdr:relSizeAnchor xmlns:cdr="http://schemas.openxmlformats.org/drawingml/2006/chartDrawing">
    <cdr:from>
      <cdr:x>0</cdr:x>
      <cdr:y>0.08151</cdr:y>
    </cdr:from>
    <cdr:to>
      <cdr:x>0.21234</cdr:x>
      <cdr:y>0.14129</cdr:y>
    </cdr:to>
    <cdr:sp macro="" textlink="">
      <cdr:nvSpPr>
        <cdr:cNvPr id="9"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67871"/>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0.22098</cdr:x>
      <cdr:y>0</cdr:y>
    </cdr:from>
    <cdr:to>
      <cdr:x>0.29932</cdr:x>
      <cdr:y>0.04103</cdr:y>
    </cdr:to>
    <cdr:pic macro="[0]!btn_Home_Click">
      <cdr:nvPicPr>
        <cdr:cNvPr id="8" name="btn_HomeNCS">
          <a:extLst xmlns:a="http://schemas.openxmlformats.org/drawingml/2006/main">
            <a:ext uri="{FF2B5EF4-FFF2-40B4-BE49-F238E27FC236}">
              <a16:creationId xmlns:a16="http://schemas.microsoft.com/office/drawing/2014/main" id="{3D374199-98EB-7AF2-D9DA-673279D5622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0.29866</cdr:x>
      <cdr:y>0</cdr:y>
    </cdr:from>
    <cdr:to>
      <cdr:x>0.377</cdr:x>
      <cdr:y>0.04103</cdr:y>
    </cdr:to>
    <cdr:pic macro="[0]!btn_Next_Click">
      <cdr:nvPicPr>
        <cdr:cNvPr id="10" name="btn_NextNCS">
          <a:extLst xmlns:a="http://schemas.openxmlformats.org/drawingml/2006/main">
            <a:ext uri="{FF2B5EF4-FFF2-40B4-BE49-F238E27FC236}">
              <a16:creationId xmlns:a16="http://schemas.microsoft.com/office/drawing/2014/main" id="{216DB0D2-8C98-1102-64C6-3C027A65AB9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0.37634</cdr:x>
      <cdr:y>0</cdr:y>
    </cdr:from>
    <cdr:to>
      <cdr:x>0.45468</cdr:x>
      <cdr:y>0.04103</cdr:y>
    </cdr:to>
    <cdr:pic macro="[0]!btn_Previous_Click">
      <cdr:nvPicPr>
        <cdr:cNvPr id="11" name="btn_PreviousNCS">
          <a:extLst xmlns:a="http://schemas.openxmlformats.org/drawingml/2006/main">
            <a:ext uri="{FF2B5EF4-FFF2-40B4-BE49-F238E27FC236}">
              <a16:creationId xmlns:a16="http://schemas.microsoft.com/office/drawing/2014/main" id="{6E1809BC-5DBF-19AA-F82B-CF2C1CA97CD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0.45402</cdr:x>
      <cdr:y>0</cdr:y>
    </cdr:from>
    <cdr:to>
      <cdr:x>0.53236</cdr:x>
      <cdr:y>0.04103</cdr:y>
    </cdr:to>
    <cdr:pic macro="[0]!btn_Zoom_In_Click">
      <cdr:nvPicPr>
        <cdr:cNvPr id="12" name="btn_Zoom_InNCS">
          <a:extLst xmlns:a="http://schemas.openxmlformats.org/drawingml/2006/main">
            <a:ext uri="{FF2B5EF4-FFF2-40B4-BE49-F238E27FC236}">
              <a16:creationId xmlns:a16="http://schemas.microsoft.com/office/drawing/2014/main" id="{C050F372-2F9B-439F-C368-3D9E26C08A6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0.5317</cdr:x>
      <cdr:y>0</cdr:y>
    </cdr:from>
    <cdr:to>
      <cdr:x>0.61003</cdr:x>
      <cdr:y>0.04103</cdr:y>
    </cdr:to>
    <cdr:pic macro="[0]!btn_Zoom_Out_Click">
      <cdr:nvPicPr>
        <cdr:cNvPr id="13" name="btn_Zoom_OutNCS">
          <a:extLst xmlns:a="http://schemas.openxmlformats.org/drawingml/2006/main">
            <a:ext uri="{FF2B5EF4-FFF2-40B4-BE49-F238E27FC236}">
              <a16:creationId xmlns:a16="http://schemas.microsoft.com/office/drawing/2014/main" id="{CC825A60-0220-ED5A-7456-D3FE03576F4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0.60937</cdr:x>
      <cdr:y>0</cdr:y>
    </cdr:from>
    <cdr:to>
      <cdr:x>0.71784</cdr:x>
      <cdr:y>0.04103</cdr:y>
    </cdr:to>
    <cdr:pic macro="[0]!btn_Print_Click">
      <cdr:nvPicPr>
        <cdr:cNvPr id="14" name="btn_PrintNCS">
          <a:extLst xmlns:a="http://schemas.openxmlformats.org/drawingml/2006/main">
            <a:ext uri="{FF2B5EF4-FFF2-40B4-BE49-F238E27FC236}">
              <a16:creationId xmlns:a16="http://schemas.microsoft.com/office/drawing/2014/main" id="{0D7C342D-BE5E-2867-BF87-248A2340CD0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absoluteAnchor>
    <xdr:pos x="0" y="0"/>
    <xdr:ext cx="9036844" cy="6750844"/>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0.xml><?xml version="1.0" encoding="utf-8"?>
<c:userShapes xmlns:c="http://schemas.openxmlformats.org/drawingml/2006/chart">
  <cdr:relSizeAnchor xmlns:cdr="http://schemas.openxmlformats.org/drawingml/2006/chartDrawing">
    <cdr:from>
      <cdr:x>0.81425</cdr:x>
      <cdr:y>0</cdr:y>
    </cdr:from>
    <cdr:to>
      <cdr:x>0.98075</cdr:x>
      <cdr:y>0.11275</cdr:y>
    </cdr:to>
    <cdr:pic>
      <cdr:nvPicPr>
        <cdr:cNvPr id="49156" name="Picture 4" descr="_Mobile3x8 12-21-03">
          <a:extLst xmlns:a="http://schemas.openxmlformats.org/drawingml/2006/main">
            <a:ext uri="{FF2B5EF4-FFF2-40B4-BE49-F238E27FC236}">
              <a16:creationId xmlns:a16="http://schemas.microsoft.com/office/drawing/2014/main" id="{8278368F-4731-D5F0-4D34-1C68A6155F69}"/>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7360189" y="0"/>
          <a:ext cx="1505031" cy="761426"/>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0.92475</cdr:x>
      <cdr:y>0.13493</cdr:y>
    </cdr:from>
    <cdr:to>
      <cdr:x>0.989</cdr:x>
      <cdr:y>0.20549</cdr:y>
    </cdr:to>
    <cdr:grpSp>
      <cdr:nvGrpSpPr>
        <cdr:cNvPr id="49160" name="Group 8">
          <a:extLst xmlns:a="http://schemas.openxmlformats.org/drawingml/2006/main">
            <a:ext uri="{FF2B5EF4-FFF2-40B4-BE49-F238E27FC236}">
              <a16:creationId xmlns:a16="http://schemas.microsoft.com/office/drawing/2014/main" id="{9D13074D-0718-158C-9E5A-AD7FF855FB84}"/>
            </a:ext>
          </a:extLst>
        </cdr:cNvPr>
        <cdr:cNvGrpSpPr>
          <a:grpSpLocks xmlns:a="http://schemas.openxmlformats.org/drawingml/2006/main"/>
        </cdr:cNvGrpSpPr>
      </cdr:nvGrpSpPr>
      <cdr:grpSpPr bwMode="auto">
        <a:xfrm xmlns:a="http://schemas.openxmlformats.org/drawingml/2006/main">
          <a:off x="8356821" y="910891"/>
          <a:ext cx="580618" cy="476340"/>
          <a:chOff x="8112671" y="914374"/>
          <a:chExt cx="824979" cy="450170"/>
        </a:xfrm>
      </cdr:grpSpPr>
      <cdr:sp macro="" textlink="">
        <cdr:nvSpPr>
          <cdr:cNvPr id="49161" name="Text Box 9" descr="Slattery-Skanska&#10;Wireless Review&#10;January 2004&#10;Carrier Comparison"/>
          <cdr:cNvSpPr txBox="1">
            <a:spLocks xmlns:a="http://schemas.openxmlformats.org/drawingml/2006/main" noChangeArrowheads="1"/>
          </cdr:cNvSpPr>
        </cdr:nvSpPr>
        <cdr:spPr bwMode="auto">
          <a:xfrm xmlns:a="http://schemas.openxmlformats.org/drawingml/2006/main">
            <a:off x="8112671" y="914374"/>
            <a:ext cx="824979" cy="247212"/>
          </a:xfrm>
          <a:prstGeom xmlns:a="http://schemas.openxmlformats.org/drawingml/2006/main" prst="rect">
            <a:avLst/>
          </a:prstGeom>
          <a:gradFill xmlns:a="http://schemas.openxmlformats.org/drawingml/2006/main" rotWithShape="1">
            <a:gsLst>
              <a:gs pos="0">
                <a:srgbClr val="FFFFCC"/>
              </a:gs>
              <a:gs pos="100000">
                <a:srgbClr val="FFFFCC">
                  <a:gamma/>
                  <a:tint val="50196"/>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Minutes</a:t>
            </a:r>
          </a:p>
        </cdr:txBody>
      </cdr:sp>
      <cdr:sp macro="" textlink="">
        <cdr:nvSpPr>
          <cdr:cNvPr id="49162" name="Line 10"/>
          <cdr:cNvSpPr>
            <a:spLocks xmlns:a="http://schemas.openxmlformats.org/drawingml/2006/main" noChangeShapeType="1"/>
          </cdr:cNvSpPr>
        </cdr:nvSpPr>
        <cdr:spPr bwMode="auto">
          <a:xfrm xmlns:a="http://schemas.openxmlformats.org/drawingml/2006/main">
            <a:off x="8112671" y="1364544"/>
            <a:ext cx="824979"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0.10925</cdr:x>
      <cdr:y>0.14301</cdr:y>
    </cdr:from>
    <cdr:to>
      <cdr:x>0.17425</cdr:x>
      <cdr:y>0.20549</cdr:y>
    </cdr:to>
    <cdr:grpSp>
      <cdr:nvGrpSpPr>
        <cdr:cNvPr id="49166" name="Group 14">
          <a:extLst xmlns:a="http://schemas.openxmlformats.org/drawingml/2006/main">
            <a:ext uri="{FF2B5EF4-FFF2-40B4-BE49-F238E27FC236}">
              <a16:creationId xmlns:a16="http://schemas.microsoft.com/office/drawing/2014/main" id="{F7A62CBD-D3B5-1B34-20B2-ABE341CCFAC2}"/>
            </a:ext>
          </a:extLst>
        </cdr:cNvPr>
        <cdr:cNvGrpSpPr>
          <a:grpSpLocks xmlns:a="http://schemas.openxmlformats.org/drawingml/2006/main"/>
        </cdr:cNvGrpSpPr>
      </cdr:nvGrpSpPr>
      <cdr:grpSpPr bwMode="auto">
        <a:xfrm xmlns:a="http://schemas.openxmlformats.org/drawingml/2006/main">
          <a:off x="987275" y="965438"/>
          <a:ext cx="587395" cy="421793"/>
          <a:chOff x="824979" y="965926"/>
          <a:chExt cx="771030" cy="398618"/>
        </a:xfrm>
      </cdr:grpSpPr>
      <cdr:sp macro="" textlink="">
        <cdr:nvSpPr>
          <cdr:cNvPr id="49167" name="Text Box 15"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965926"/>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49168" name="Line 16"/>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0.00125</cdr:x>
      <cdr:y>0.0315</cdr:y>
    </cdr:from>
    <cdr:to>
      <cdr:x>0.2027</cdr:x>
      <cdr:y>0.05805</cdr:y>
    </cdr:to>
    <cdr:sp macro="" textlink="">
      <cdr:nvSpPr>
        <cdr:cNvPr id="49171"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11284" y="212360"/>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0.00125</cdr:x>
      <cdr:y>0.0565</cdr:y>
    </cdr:from>
    <cdr:to>
      <cdr:x>0.11299</cdr:x>
      <cdr:y>0.08305</cdr:y>
    </cdr:to>
    <cdr:sp macro="" textlink="">
      <cdr:nvSpPr>
        <cdr:cNvPr id="49172"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11284" y="380899"/>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0.00125</cdr:x>
      <cdr:y>0.005</cdr:y>
    </cdr:from>
    <cdr:to>
      <cdr:x>0.13582</cdr:x>
      <cdr:y>0.03155</cdr:y>
    </cdr:to>
    <cdr:sp macro="" textlink="">
      <cdr:nvSpPr>
        <cdr:cNvPr id="49173"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11284" y="33708"/>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0.08229</cdr:y>
    </cdr:from>
    <cdr:to>
      <cdr:x>0.22323</cdr:x>
      <cdr:y>0.14412</cdr:y>
    </cdr:to>
    <cdr:sp macro="" textlink="">
      <cdr:nvSpPr>
        <cdr:cNvPr id="9"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54264"/>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0.23212</cdr:x>
      <cdr:y>0</cdr:y>
    </cdr:from>
    <cdr:to>
      <cdr:x>0.31441</cdr:x>
      <cdr:y>0.04238</cdr:y>
    </cdr:to>
    <cdr:pic macro="[0]!btn_Home_Click">
      <cdr:nvPicPr>
        <cdr:cNvPr id="8" name="btn_HomeWSM">
          <a:extLst xmlns:a="http://schemas.openxmlformats.org/drawingml/2006/main">
            <a:ext uri="{FF2B5EF4-FFF2-40B4-BE49-F238E27FC236}">
              <a16:creationId xmlns:a16="http://schemas.microsoft.com/office/drawing/2014/main" id="{C823EB71-AC3E-B3C0-C762-90C311763BD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0.31372</cdr:x>
      <cdr:y>0</cdr:y>
    </cdr:from>
    <cdr:to>
      <cdr:x>0.396</cdr:x>
      <cdr:y>0.04238</cdr:y>
    </cdr:to>
    <cdr:pic macro="[0]!btn_Next_Click">
      <cdr:nvPicPr>
        <cdr:cNvPr id="10" name="btn_NextWSM">
          <a:extLst xmlns:a="http://schemas.openxmlformats.org/drawingml/2006/main">
            <a:ext uri="{FF2B5EF4-FFF2-40B4-BE49-F238E27FC236}">
              <a16:creationId xmlns:a16="http://schemas.microsoft.com/office/drawing/2014/main" id="{F2F61EA3-BE81-95AB-089D-9911E7EF866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0.39531</cdr:x>
      <cdr:y>0</cdr:y>
    </cdr:from>
    <cdr:to>
      <cdr:x>0.4776</cdr:x>
      <cdr:y>0.04238</cdr:y>
    </cdr:to>
    <cdr:pic macro="[0]!btn_Previous_Click">
      <cdr:nvPicPr>
        <cdr:cNvPr id="11" name="btn_PreviousWSM">
          <a:extLst xmlns:a="http://schemas.openxmlformats.org/drawingml/2006/main">
            <a:ext uri="{FF2B5EF4-FFF2-40B4-BE49-F238E27FC236}">
              <a16:creationId xmlns:a16="http://schemas.microsoft.com/office/drawing/2014/main" id="{D31B77E3-D879-BDBC-7605-3E0352602D8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0.47691</cdr:x>
      <cdr:y>0</cdr:y>
    </cdr:from>
    <cdr:to>
      <cdr:x>0.55919</cdr:x>
      <cdr:y>0.04238</cdr:y>
    </cdr:to>
    <cdr:pic macro="[0]!btn_Zoom_In_Click">
      <cdr:nvPicPr>
        <cdr:cNvPr id="12" name="btn_Zoom_InWSM">
          <a:extLst xmlns:a="http://schemas.openxmlformats.org/drawingml/2006/main">
            <a:ext uri="{FF2B5EF4-FFF2-40B4-BE49-F238E27FC236}">
              <a16:creationId xmlns:a16="http://schemas.microsoft.com/office/drawing/2014/main" id="{07F825CB-F60C-D90B-9889-D3EF4490279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0.5585</cdr:x>
      <cdr:y>0</cdr:y>
    </cdr:from>
    <cdr:to>
      <cdr:x>0.64079</cdr:x>
      <cdr:y>0.04238</cdr:y>
    </cdr:to>
    <cdr:pic macro="[0]!btn_Zoom_Out_Click">
      <cdr:nvPicPr>
        <cdr:cNvPr id="13" name="btn_Zoom_OutWSM">
          <a:extLst xmlns:a="http://schemas.openxmlformats.org/drawingml/2006/main">
            <a:ext uri="{FF2B5EF4-FFF2-40B4-BE49-F238E27FC236}">
              <a16:creationId xmlns:a16="http://schemas.microsoft.com/office/drawing/2014/main" id="{36BCCD0E-64A6-9CBF-0A00-D02E438864F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0.64009</cdr:x>
      <cdr:y>0</cdr:y>
    </cdr:from>
    <cdr:to>
      <cdr:x>0.75403</cdr:x>
      <cdr:y>0.04238</cdr:y>
    </cdr:to>
    <cdr:pic macro="[0]!btn_Print_Click">
      <cdr:nvPicPr>
        <cdr:cNvPr id="14" name="btn_PrintWSM">
          <a:extLst xmlns:a="http://schemas.openxmlformats.org/drawingml/2006/main">
            <a:ext uri="{FF2B5EF4-FFF2-40B4-BE49-F238E27FC236}">
              <a16:creationId xmlns:a16="http://schemas.microsoft.com/office/drawing/2014/main" id="{BF6E7E32-32B1-388E-7D14-456250F8702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11.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2.xml><?xml version="1.0" encoding="utf-8"?>
<c:userShapes xmlns:c="http://schemas.openxmlformats.org/drawingml/2006/chart">
  <cdr:relSizeAnchor xmlns:cdr="http://schemas.openxmlformats.org/drawingml/2006/chartDrawing">
    <cdr:from>
      <cdr:x>0.81575</cdr:x>
      <cdr:y>0</cdr:y>
    </cdr:from>
    <cdr:to>
      <cdr:x>0.99</cdr:x>
      <cdr:y>0.1255</cdr:y>
    </cdr:to>
    <cdr:pic>
      <cdr:nvPicPr>
        <cdr:cNvPr id="50180" name="Picture 4" descr="_Mobile3x8 12-21-03">
          <a:extLst xmlns:a="http://schemas.openxmlformats.org/drawingml/2006/main">
            <a:ext uri="{FF2B5EF4-FFF2-40B4-BE49-F238E27FC236}">
              <a16:creationId xmlns:a16="http://schemas.microsoft.com/office/drawing/2014/main" id="{94461CDD-053F-D9CA-264A-A87248D80809}"/>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81917" y="0"/>
          <a:ext cx="1491387" cy="730894"/>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0.0815</cdr:x>
      <cdr:y>0.15175</cdr:y>
    </cdr:from>
    <cdr:to>
      <cdr:x>0.1515</cdr:x>
      <cdr:y>0.19725</cdr:y>
    </cdr:to>
    <cdr:grpSp>
      <cdr:nvGrpSpPr>
        <cdr:cNvPr id="50202" name="Group 26">
          <a:extLst xmlns:a="http://schemas.openxmlformats.org/drawingml/2006/main">
            <a:ext uri="{FF2B5EF4-FFF2-40B4-BE49-F238E27FC236}">
              <a16:creationId xmlns:a16="http://schemas.microsoft.com/office/drawing/2014/main" id="{D24FB9B6-8359-3047-D47D-D6F2CD6EEDAE}"/>
            </a:ext>
          </a:extLst>
        </cdr:cNvPr>
        <cdr:cNvGrpSpPr>
          <a:grpSpLocks xmlns:a="http://schemas.openxmlformats.org/drawingml/2006/main"/>
        </cdr:cNvGrpSpPr>
      </cdr:nvGrpSpPr>
      <cdr:grpSpPr bwMode="auto">
        <a:xfrm xmlns:a="http://schemas.openxmlformats.org/drawingml/2006/main">
          <a:off x="699629" y="885319"/>
          <a:ext cx="600909" cy="265450"/>
          <a:chOff x="824979" y="1120585"/>
          <a:chExt cx="771030" cy="247212"/>
        </a:xfrm>
      </cdr:grpSpPr>
      <cdr:sp macro="" textlink="">
        <cdr:nvSpPr>
          <cdr:cNvPr id="50203" name="Text Box 27"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50204" name="Line 28"/>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0207"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0208"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0209"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0.08583</cdr:y>
    </cdr:from>
    <cdr:to>
      <cdr:x>0.23529</cdr:x>
      <cdr:y>0.15734</cdr:y>
    </cdr:to>
    <cdr:sp macro="" textlink="">
      <cdr:nvSpPr>
        <cdr:cNvPr id="10"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99836"/>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8" name="btn_HomeYTDTC">
          <a:extLst xmlns:a="http://schemas.openxmlformats.org/drawingml/2006/main">
            <a:ext uri="{FF2B5EF4-FFF2-40B4-BE49-F238E27FC236}">
              <a16:creationId xmlns:a16="http://schemas.microsoft.com/office/drawing/2014/main" id="{6BC6646E-CE19-6761-0987-DCD306349DB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9" name="btn_NextYTDTC">
          <a:extLst xmlns:a="http://schemas.openxmlformats.org/drawingml/2006/main">
            <a:ext uri="{FF2B5EF4-FFF2-40B4-BE49-F238E27FC236}">
              <a16:creationId xmlns:a16="http://schemas.microsoft.com/office/drawing/2014/main" id="{EA67529F-E0BD-68A5-5BE7-E3FE754886F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YTDTC">
          <a:extLst xmlns:a="http://schemas.openxmlformats.org/drawingml/2006/main">
            <a:ext uri="{FF2B5EF4-FFF2-40B4-BE49-F238E27FC236}">
              <a16:creationId xmlns:a16="http://schemas.microsoft.com/office/drawing/2014/main" id="{9EFAE8B4-E954-BEA1-4F52-0D7C84A63BD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YTDTC">
          <a:extLst xmlns:a="http://schemas.openxmlformats.org/drawingml/2006/main">
            <a:ext uri="{FF2B5EF4-FFF2-40B4-BE49-F238E27FC236}">
              <a16:creationId xmlns:a16="http://schemas.microsoft.com/office/drawing/2014/main" id="{8F9918B3-99FC-DBF0-C7C2-27587FC2616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YTDTC">
          <a:extLst xmlns:a="http://schemas.openxmlformats.org/drawingml/2006/main">
            <a:ext uri="{FF2B5EF4-FFF2-40B4-BE49-F238E27FC236}">
              <a16:creationId xmlns:a16="http://schemas.microsoft.com/office/drawing/2014/main" id="{526992A7-E949-6162-9D10-5011BAD4478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YTDTC">
          <a:extLst xmlns:a="http://schemas.openxmlformats.org/drawingml/2006/main">
            <a:ext uri="{FF2B5EF4-FFF2-40B4-BE49-F238E27FC236}">
              <a16:creationId xmlns:a16="http://schemas.microsoft.com/office/drawing/2014/main" id="{DD6F7EF4-26DA-16FE-6640-F77F70C53E7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13.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4.xml><?xml version="1.0" encoding="utf-8"?>
<c:userShapes xmlns:c="http://schemas.openxmlformats.org/drawingml/2006/chart">
  <cdr:relSizeAnchor xmlns:cdr="http://schemas.openxmlformats.org/drawingml/2006/chartDrawing">
    <cdr:from>
      <cdr:x>0.815</cdr:x>
      <cdr:y>0</cdr:y>
    </cdr:from>
    <cdr:to>
      <cdr:x>0.98925</cdr:x>
      <cdr:y>0.1255</cdr:y>
    </cdr:to>
    <cdr:pic>
      <cdr:nvPicPr>
        <cdr:cNvPr id="55304" name="Picture 8" descr="_Mobile3x8 12-21-03">
          <a:extLst xmlns:a="http://schemas.openxmlformats.org/drawingml/2006/main">
            <a:ext uri="{FF2B5EF4-FFF2-40B4-BE49-F238E27FC236}">
              <a16:creationId xmlns:a16="http://schemas.microsoft.com/office/drawing/2014/main" id="{74018B1E-A788-6E91-38AE-C1C5F147032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94350"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cdr:x>
      <cdr:y>0.02925</cdr:y>
    </cdr:from>
    <cdr:to>
      <cdr:x>0.21215</cdr:x>
      <cdr:y>0.05999</cdr:y>
    </cdr:to>
    <cdr:sp macro="" textlink="">
      <cdr:nvSpPr>
        <cdr:cNvPr id="55314"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5315"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5316"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0.09517</cdr:y>
    </cdr:from>
    <cdr:to>
      <cdr:x>0.24801</cdr:x>
      <cdr:y>0.16668</cdr:y>
    </cdr:to>
    <cdr:sp macro="" textlink="">
      <cdr:nvSpPr>
        <cdr:cNvPr id="8" name="TextBox 3">
          <a:extLst xmlns:a="http://schemas.openxmlformats.org/drawingml/2006/main">
            <a:ext uri="{FF2B5EF4-FFF2-40B4-BE49-F238E27FC236}">
              <a16:creationId xmlns:a16="http://schemas.microsoft.com/office/drawing/2014/main" id="{2B56E3B7-CC8C-BB80-25A4-B470D8545C25}"/>
            </a:ext>
          </a:extLst>
        </cdr:cNvPr>
        <cdr:cNvSpPr txBox="1"/>
      </cdr:nvSpPr>
      <cdr:spPr>
        <a:xfrm xmlns:a="http://schemas.openxmlformats.org/drawingml/2006/main">
          <a:off x="0" y="554264"/>
          <a:ext cx="2122714"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MSB">
          <a:extLst xmlns:a="http://schemas.openxmlformats.org/drawingml/2006/main">
            <a:ext uri="{FF2B5EF4-FFF2-40B4-BE49-F238E27FC236}">
              <a16:creationId xmlns:a16="http://schemas.microsoft.com/office/drawing/2014/main" id="{E7FA94F8-59DC-AA56-5317-87D16187976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MSB">
          <a:extLst xmlns:a="http://schemas.openxmlformats.org/drawingml/2006/main">
            <a:ext uri="{FF2B5EF4-FFF2-40B4-BE49-F238E27FC236}">
              <a16:creationId xmlns:a16="http://schemas.microsoft.com/office/drawing/2014/main" id="{999510DB-8B18-E06A-69D8-DF63E233E03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MSB">
          <a:extLst xmlns:a="http://schemas.openxmlformats.org/drawingml/2006/main">
            <a:ext uri="{FF2B5EF4-FFF2-40B4-BE49-F238E27FC236}">
              <a16:creationId xmlns:a16="http://schemas.microsoft.com/office/drawing/2014/main" id="{5A47BFBF-C2D6-A400-3A0A-B4F6E867634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MSB">
          <a:extLst xmlns:a="http://schemas.openxmlformats.org/drawingml/2006/main">
            <a:ext uri="{FF2B5EF4-FFF2-40B4-BE49-F238E27FC236}">
              <a16:creationId xmlns:a16="http://schemas.microsoft.com/office/drawing/2014/main" id="{BBDC2950-5D73-28EF-5ABA-A50B5BA1DA5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MSB">
          <a:extLst xmlns:a="http://schemas.openxmlformats.org/drawingml/2006/main">
            <a:ext uri="{FF2B5EF4-FFF2-40B4-BE49-F238E27FC236}">
              <a16:creationId xmlns:a16="http://schemas.microsoft.com/office/drawing/2014/main" id="{7B2C4136-EF23-CBF7-956A-C3A653F64BD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MSB">
          <a:extLst xmlns:a="http://schemas.openxmlformats.org/drawingml/2006/main">
            <a:ext uri="{FF2B5EF4-FFF2-40B4-BE49-F238E27FC236}">
              <a16:creationId xmlns:a16="http://schemas.microsoft.com/office/drawing/2014/main" id="{2C37ED17-8613-4886-4318-E5A318BBC34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15.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6.xml><?xml version="1.0" encoding="utf-8"?>
<c:userShapes xmlns:c="http://schemas.openxmlformats.org/drawingml/2006/chart">
  <cdr:relSizeAnchor xmlns:cdr="http://schemas.openxmlformats.org/drawingml/2006/chartDrawing">
    <cdr:from>
      <cdr:x>0.7975</cdr:x>
      <cdr:y>0</cdr:y>
    </cdr:from>
    <cdr:to>
      <cdr:x>0.97175</cdr:x>
      <cdr:y>0.1255</cdr:y>
    </cdr:to>
    <cdr:pic>
      <cdr:nvPicPr>
        <cdr:cNvPr id="51204" name="Picture 4" descr="_Mobile3x8 12-21-03">
          <a:extLst xmlns:a="http://schemas.openxmlformats.org/drawingml/2006/main">
            <a:ext uri="{FF2B5EF4-FFF2-40B4-BE49-F238E27FC236}">
              <a16:creationId xmlns:a16="http://schemas.microsoft.com/office/drawing/2014/main" id="{DE1E173F-62B3-2E67-4724-2F75BB45CFF8}"/>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844165"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0.1185</cdr:x>
      <cdr:y>0.158</cdr:y>
    </cdr:from>
    <cdr:to>
      <cdr:x>0.18875</cdr:x>
      <cdr:y>0.20175</cdr:y>
    </cdr:to>
    <cdr:grpSp>
      <cdr:nvGrpSpPr>
        <cdr:cNvPr id="51214" name="Group 14">
          <a:extLst xmlns:a="http://schemas.openxmlformats.org/drawingml/2006/main">
            <a:ext uri="{FF2B5EF4-FFF2-40B4-BE49-F238E27FC236}">
              <a16:creationId xmlns:a16="http://schemas.microsoft.com/office/drawing/2014/main" id="{29D8FB7A-CA31-81C7-8A7D-B2C720742FAD}"/>
            </a:ext>
          </a:extLst>
        </cdr:cNvPr>
        <cdr:cNvGrpSpPr>
          <a:grpSpLocks xmlns:a="http://schemas.openxmlformats.org/drawingml/2006/main"/>
        </cdr:cNvGrpSpPr>
      </cdr:nvGrpSpPr>
      <cdr:grpSpPr bwMode="auto">
        <a:xfrm xmlns:a="http://schemas.openxmlformats.org/drawingml/2006/main">
          <a:off x="1017252" y="921782"/>
          <a:ext cx="603055" cy="255240"/>
          <a:chOff x="824979" y="1120585"/>
          <a:chExt cx="771030" cy="247212"/>
        </a:xfrm>
      </cdr:grpSpPr>
      <cdr:sp macro="" textlink="">
        <cdr:nvSpPr>
          <cdr:cNvPr id="51215" name="Text Box 15"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51216" name="Line 16"/>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1218"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1219"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1220"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0.00117</cdr:x>
      <cdr:y>0.08583</cdr:y>
    </cdr:from>
    <cdr:to>
      <cdr:x>0.23646</cdr:x>
      <cdr:y>0.15734</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9979" y="499836"/>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WSND">
          <a:extLst xmlns:a="http://schemas.openxmlformats.org/drawingml/2006/main">
            <a:ext uri="{FF2B5EF4-FFF2-40B4-BE49-F238E27FC236}">
              <a16:creationId xmlns:a16="http://schemas.microsoft.com/office/drawing/2014/main" id="{ACF0C3A4-A716-2FBF-FB53-14275A9EE6D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WSND">
          <a:extLst xmlns:a="http://schemas.openxmlformats.org/drawingml/2006/main">
            <a:ext uri="{FF2B5EF4-FFF2-40B4-BE49-F238E27FC236}">
              <a16:creationId xmlns:a16="http://schemas.microsoft.com/office/drawing/2014/main" id="{7305D73E-4B54-D07F-E89F-16904A74F94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WSND">
          <a:extLst xmlns:a="http://schemas.openxmlformats.org/drawingml/2006/main">
            <a:ext uri="{FF2B5EF4-FFF2-40B4-BE49-F238E27FC236}">
              <a16:creationId xmlns:a16="http://schemas.microsoft.com/office/drawing/2014/main" id="{842809E9-B24E-9782-F55B-AF8E2972D48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WSND">
          <a:extLst xmlns:a="http://schemas.openxmlformats.org/drawingml/2006/main">
            <a:ext uri="{FF2B5EF4-FFF2-40B4-BE49-F238E27FC236}">
              <a16:creationId xmlns:a16="http://schemas.microsoft.com/office/drawing/2014/main" id="{156FAE71-5A29-63FF-A9D8-5E7E377D02E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WSND">
          <a:extLst xmlns:a="http://schemas.openxmlformats.org/drawingml/2006/main">
            <a:ext uri="{FF2B5EF4-FFF2-40B4-BE49-F238E27FC236}">
              <a16:creationId xmlns:a16="http://schemas.microsoft.com/office/drawing/2014/main" id="{B21F76CF-91F9-7BA3-7525-C0F5A6C07A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WSND">
          <a:extLst xmlns:a="http://schemas.openxmlformats.org/drawingml/2006/main">
            <a:ext uri="{FF2B5EF4-FFF2-40B4-BE49-F238E27FC236}">
              <a16:creationId xmlns:a16="http://schemas.microsoft.com/office/drawing/2014/main" id="{523B30BA-1F66-2F10-EF6B-58110F21B3C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17.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18.xml><?xml version="1.0" encoding="utf-8"?>
<c:userShapes xmlns:c="http://schemas.openxmlformats.org/drawingml/2006/chart">
  <cdr:relSizeAnchor xmlns:cdr="http://schemas.openxmlformats.org/drawingml/2006/chartDrawing">
    <cdr:from>
      <cdr:x>0.8125</cdr:x>
      <cdr:y>0</cdr:y>
    </cdr:from>
    <cdr:to>
      <cdr:x>0.98675</cdr:x>
      <cdr:y>0.1255</cdr:y>
    </cdr:to>
    <cdr:pic>
      <cdr:nvPicPr>
        <cdr:cNvPr id="59396" name="Picture 4" descr="_Mobile3x8 12-21-03">
          <a:extLst xmlns:a="http://schemas.openxmlformats.org/drawingml/2006/main">
            <a:ext uri="{FF2B5EF4-FFF2-40B4-BE49-F238E27FC236}">
              <a16:creationId xmlns:a16="http://schemas.microsoft.com/office/drawing/2014/main" id="{212561DF-D216-3392-777A-5FC75BF94975}"/>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72895"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0.0765</cdr:x>
      <cdr:y>0.17175</cdr:y>
    </cdr:from>
    <cdr:to>
      <cdr:x>0.14725</cdr:x>
      <cdr:y>0.21525</cdr:y>
    </cdr:to>
    <cdr:grpSp>
      <cdr:nvGrpSpPr>
        <cdr:cNvPr id="59404" name="Group 12">
          <a:extLst xmlns:a="http://schemas.openxmlformats.org/drawingml/2006/main">
            <a:ext uri="{FF2B5EF4-FFF2-40B4-BE49-F238E27FC236}">
              <a16:creationId xmlns:a16="http://schemas.microsoft.com/office/drawing/2014/main" id="{857541AD-DA6E-649F-1D76-21AAE706CFF6}"/>
            </a:ext>
          </a:extLst>
        </cdr:cNvPr>
        <cdr:cNvGrpSpPr>
          <a:grpSpLocks xmlns:a="http://schemas.openxmlformats.org/drawingml/2006/main"/>
        </cdr:cNvGrpSpPr>
      </cdr:nvGrpSpPr>
      <cdr:grpSpPr bwMode="auto">
        <a:xfrm xmlns:a="http://schemas.openxmlformats.org/drawingml/2006/main">
          <a:off x="656707" y="1002000"/>
          <a:ext cx="607347" cy="253782"/>
          <a:chOff x="824979" y="1120585"/>
          <a:chExt cx="771030" cy="247212"/>
        </a:xfrm>
      </cdr:grpSpPr>
      <cdr:sp macro="" textlink="">
        <cdr:nvSpPr>
          <cdr:cNvPr id="59405" name="Text Box 13"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59406" name="Line 14"/>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0.90475</cdr:x>
      <cdr:y>0.17175</cdr:y>
    </cdr:from>
    <cdr:to>
      <cdr:x>1</cdr:x>
      <cdr:y>0.219</cdr:y>
    </cdr:to>
    <cdr:grpSp>
      <cdr:nvGrpSpPr>
        <cdr:cNvPr id="59407" name="Group 15">
          <a:extLst xmlns:a="http://schemas.openxmlformats.org/drawingml/2006/main">
            <a:ext uri="{FF2B5EF4-FFF2-40B4-BE49-F238E27FC236}">
              <a16:creationId xmlns:a16="http://schemas.microsoft.com/office/drawing/2014/main" id="{37FA28E6-8A73-9BF3-E2EB-4B62D1EB0252}"/>
            </a:ext>
          </a:extLst>
        </cdr:cNvPr>
        <cdr:cNvGrpSpPr>
          <a:grpSpLocks xmlns:a="http://schemas.openxmlformats.org/drawingml/2006/main"/>
        </cdr:cNvGrpSpPr>
      </cdr:nvGrpSpPr>
      <cdr:grpSpPr bwMode="auto">
        <a:xfrm xmlns:a="http://schemas.openxmlformats.org/drawingml/2006/main">
          <a:off x="7766741" y="1002000"/>
          <a:ext cx="817665" cy="275660"/>
          <a:chOff x="824979" y="1120585"/>
          <a:chExt cx="771030" cy="247212"/>
        </a:xfrm>
      </cdr:grpSpPr>
      <cdr:sp macro="" textlink="">
        <cdr:nvSpPr>
          <cdr:cNvPr id="59408" name="Text Box 16"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MobileManager Cost</a:t>
            </a:r>
          </a:p>
        </cdr:txBody>
      </cdr:sp>
      <cdr:sp macro="" textlink="">
        <cdr:nvSpPr>
          <cdr:cNvPr id="59409" name="Line 17"/>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0.73709</cdr:x>
      <cdr:y>0.22173</cdr:y>
    </cdr:from>
    <cdr:to>
      <cdr:x>0.87909</cdr:x>
      <cdr:y>0.32323</cdr:y>
    </cdr:to>
    <cdr:sp macro="" textlink="">
      <cdr:nvSpPr>
        <cdr:cNvPr id="59421" name="AutoShape 29"/>
        <cdr:cNvSpPr>
          <a:spLocks xmlns:a="http://schemas.openxmlformats.org/drawingml/2006/main" noChangeArrowheads="1"/>
        </cdr:cNvSpPr>
      </cdr:nvSpPr>
      <cdr:spPr bwMode="auto">
        <a:xfrm xmlns:a="http://schemas.openxmlformats.org/drawingml/2006/main">
          <a:off x="6308673" y="1291331"/>
          <a:ext cx="1215363" cy="591122"/>
        </a:xfrm>
        <a:prstGeom xmlns:a="http://schemas.openxmlformats.org/drawingml/2006/main" prst="rightArrow">
          <a:avLst>
            <a:gd name="adj1" fmla="val 50000"/>
            <a:gd name="adj2" fmla="val 51408"/>
          </a:avLst>
        </a:prstGeom>
        <a:gradFill xmlns:a="http://schemas.openxmlformats.org/drawingml/2006/main" rotWithShape="1">
          <a:gsLst>
            <a:gs pos="0">
              <a:srgbClr xmlns:mc="http://schemas.openxmlformats.org/markup-compatibility/2006" xmlns:a14="http://schemas.microsoft.com/office/drawing/2010/main" val="FFFFFF" mc:Ignorable="a14" a14:legacySpreadsheetColorIndex="9"/>
            </a:gs>
            <a:gs pos="50000">
              <a:srgbClr xmlns:mc="http://schemas.openxmlformats.org/markup-compatibility/2006" xmlns:a14="http://schemas.microsoft.com/office/drawing/2010/main" val="8F8F8F" mc:Ignorable="a14" a14:legacySpreadsheetColorIndex="9">
                <a:gamma/>
                <a:shade val="56078"/>
                <a:invGamma/>
              </a:srgbClr>
            </a:gs>
            <a:gs pos="100000">
              <a:srgbClr xmlns:mc="http://schemas.openxmlformats.org/markup-compatibility/2006" xmlns:a14="http://schemas.microsoft.com/office/drawing/2010/main" val="FFFFFF" mc:Ignorable="a14" a14:legacySpreadsheetColorIndex="9"/>
            </a:gs>
          </a:gsLst>
          <a:lin ang="2700000" scaled="1"/>
        </a:gradFill>
        <a:ln xmlns:a="http://schemas.openxmlformats.org/drawingml/2006/main" w="9525" algn="ctr">
          <a:solidFill>
            <a:srgbClr xmlns:mc="http://schemas.openxmlformats.org/markup-compatibility/2006" xmlns:a14="http://schemas.microsoft.com/office/drawing/2010/main" val="000000" mc:Ignorable="a14" a14:legacySpreadsheetColorIndex="64"/>
          </a:solidFill>
          <a:miter lim="800000"/>
          <a:headEnd/>
          <a:tailEn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0" bIns="18288" anchor="ctr" upright="1"/>
        <a:lstStyle xmlns:a="http://schemas.openxmlformats.org/drawingml/2006/main"/>
        <a:p xmlns:a="http://schemas.openxmlformats.org/drawingml/2006/main">
          <a:pPr algn="l" rtl="0">
            <a:defRPr sz="1000"/>
          </a:pPr>
          <a:r>
            <a:rPr lang="en-US" sz="700" b="1" i="0" u="none" strike="noStrike" baseline="0">
              <a:solidFill>
                <a:srgbClr val="000000"/>
              </a:solidFill>
              <a:latin typeface="Verdana"/>
              <a:ea typeface="Verdana"/>
              <a:cs typeface="Verdana"/>
            </a:rPr>
            <a:t>6-Month </a:t>
          </a:r>
        </a:p>
        <a:p xmlns:a="http://schemas.openxmlformats.org/drawingml/2006/main">
          <a:pPr algn="l" rtl="0">
            <a:defRPr sz="1000"/>
          </a:pPr>
          <a:r>
            <a:rPr lang="en-US" sz="700" b="1" i="0" u="none" strike="noStrike" baseline="0">
              <a:solidFill>
                <a:srgbClr val="000000"/>
              </a:solidFill>
              <a:latin typeface="Verdana"/>
              <a:ea typeface="Verdana"/>
              <a:cs typeface="Verdana"/>
            </a:rPr>
            <a:t>Cumulative Savings</a:t>
          </a:r>
        </a:p>
      </cdr:txBody>
    </cdr:sp>
  </cdr:relSizeAnchor>
  <cdr:relSizeAnchor xmlns:cdr="http://schemas.openxmlformats.org/drawingml/2006/chartDrawing">
    <cdr:from>
      <cdr:x>0</cdr:x>
      <cdr:y>0.02925</cdr:y>
    </cdr:from>
    <cdr:to>
      <cdr:x>0.21215</cdr:x>
      <cdr:y>0.05999</cdr:y>
    </cdr:to>
    <cdr:sp macro="" textlink="">
      <cdr:nvSpPr>
        <cdr:cNvPr id="59424"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9425"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9426"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0.08583</cdr:y>
    </cdr:from>
    <cdr:to>
      <cdr:x>0.23529</cdr:x>
      <cdr:y>0.15733</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99835"/>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BLANK">
          <a:extLst xmlns:a="http://schemas.openxmlformats.org/drawingml/2006/main">
            <a:ext uri="{FF2B5EF4-FFF2-40B4-BE49-F238E27FC236}">
              <a16:creationId xmlns:a16="http://schemas.microsoft.com/office/drawing/2014/main" id="{5CF58EAA-EDF2-2C2D-0BDD-FDDCF73AD41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BLANK">
          <a:extLst xmlns:a="http://schemas.openxmlformats.org/drawingml/2006/main">
            <a:ext uri="{FF2B5EF4-FFF2-40B4-BE49-F238E27FC236}">
              <a16:creationId xmlns:a16="http://schemas.microsoft.com/office/drawing/2014/main" id="{6F58F648-FFE8-2A0D-8598-FBE7517BB5C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BLANK">
          <a:extLst xmlns:a="http://schemas.openxmlformats.org/drawingml/2006/main">
            <a:ext uri="{FF2B5EF4-FFF2-40B4-BE49-F238E27FC236}">
              <a16:creationId xmlns:a16="http://schemas.microsoft.com/office/drawing/2014/main" id="{4C1B644D-B2FA-271C-338D-4251B0EA7B1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BLANK">
          <a:extLst xmlns:a="http://schemas.openxmlformats.org/drawingml/2006/main">
            <a:ext uri="{FF2B5EF4-FFF2-40B4-BE49-F238E27FC236}">
              <a16:creationId xmlns:a16="http://schemas.microsoft.com/office/drawing/2014/main" id="{0C443818-9AAB-4EFA-892D-4ADB32CC759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BLANK">
          <a:extLst xmlns:a="http://schemas.openxmlformats.org/drawingml/2006/main">
            <a:ext uri="{FF2B5EF4-FFF2-40B4-BE49-F238E27FC236}">
              <a16:creationId xmlns:a16="http://schemas.microsoft.com/office/drawing/2014/main" id="{F0854A7E-3E44-B81E-E798-E983BC0CC11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BLANK">
          <a:extLst xmlns:a="http://schemas.openxmlformats.org/drawingml/2006/main">
            <a:ext uri="{FF2B5EF4-FFF2-40B4-BE49-F238E27FC236}">
              <a16:creationId xmlns:a16="http://schemas.microsoft.com/office/drawing/2014/main" id="{EA963B8E-FAF1-292C-BAA5-DEC3EDF8C18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19.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0.xml><?xml version="1.0" encoding="utf-8"?>
<c:userShapes xmlns:c="http://schemas.openxmlformats.org/drawingml/2006/chart">
  <cdr:relSizeAnchor xmlns:cdr="http://schemas.openxmlformats.org/drawingml/2006/chartDrawing">
    <cdr:from>
      <cdr:x>0.8145</cdr:x>
      <cdr:y>0</cdr:y>
    </cdr:from>
    <cdr:to>
      <cdr:x>0.98875</cdr:x>
      <cdr:y>0.1255</cdr:y>
    </cdr:to>
    <cdr:pic>
      <cdr:nvPicPr>
        <cdr:cNvPr id="58372" name="Picture 4" descr="_Mobile3x8 12-21-03">
          <a:extLst xmlns:a="http://schemas.openxmlformats.org/drawingml/2006/main">
            <a:ext uri="{FF2B5EF4-FFF2-40B4-BE49-F238E27FC236}">
              <a16:creationId xmlns:a16="http://schemas.microsoft.com/office/drawing/2014/main" id="{270A335E-7D76-684A-5B9D-D1A2526C0632}"/>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90059"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0.09675</cdr:x>
      <cdr:y>0.15925</cdr:y>
    </cdr:from>
    <cdr:to>
      <cdr:x>0.15525</cdr:x>
      <cdr:y>0.20375</cdr:y>
    </cdr:to>
    <cdr:grpSp>
      <cdr:nvGrpSpPr>
        <cdr:cNvPr id="58380" name="Group 12">
          <a:extLst xmlns:a="http://schemas.openxmlformats.org/drawingml/2006/main">
            <a:ext uri="{FF2B5EF4-FFF2-40B4-BE49-F238E27FC236}">
              <a16:creationId xmlns:a16="http://schemas.microsoft.com/office/drawing/2014/main" id="{E4FE91DB-0FD0-9095-59DE-2DF7F9F99E3D}"/>
            </a:ext>
          </a:extLst>
        </cdr:cNvPr>
        <cdr:cNvGrpSpPr>
          <a:grpSpLocks xmlns:a="http://schemas.openxmlformats.org/drawingml/2006/main"/>
        </cdr:cNvGrpSpPr>
      </cdr:nvGrpSpPr>
      <cdr:grpSpPr bwMode="auto">
        <a:xfrm xmlns:a="http://schemas.openxmlformats.org/drawingml/2006/main">
          <a:off x="830541" y="929074"/>
          <a:ext cx="502188" cy="259616"/>
          <a:chOff x="824979" y="1120585"/>
          <a:chExt cx="771030" cy="247212"/>
        </a:xfrm>
      </cdr:grpSpPr>
      <cdr:sp macro="" textlink="">
        <cdr:nvSpPr>
          <cdr:cNvPr id="58381" name="Text Box 13"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58382" name="Line 14"/>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0.9195</cdr:x>
      <cdr:y>0.15975</cdr:y>
    </cdr:from>
    <cdr:to>
      <cdr:x>0.992</cdr:x>
      <cdr:y>0.20425</cdr:y>
    </cdr:to>
    <cdr:grpSp>
      <cdr:nvGrpSpPr>
        <cdr:cNvPr id="58383" name="Group 15">
          <a:extLst xmlns:a="http://schemas.openxmlformats.org/drawingml/2006/main">
            <a:ext uri="{FF2B5EF4-FFF2-40B4-BE49-F238E27FC236}">
              <a16:creationId xmlns:a16="http://schemas.microsoft.com/office/drawing/2014/main" id="{9B579499-677D-2967-D693-C48BEB55145C}"/>
            </a:ext>
          </a:extLst>
        </cdr:cNvPr>
        <cdr:cNvGrpSpPr>
          <a:grpSpLocks xmlns:a="http://schemas.openxmlformats.org/drawingml/2006/main"/>
        </cdr:cNvGrpSpPr>
      </cdr:nvGrpSpPr>
      <cdr:grpSpPr bwMode="auto">
        <a:xfrm xmlns:a="http://schemas.openxmlformats.org/drawingml/2006/main">
          <a:off x="7893361" y="931991"/>
          <a:ext cx="622370" cy="259616"/>
          <a:chOff x="824979" y="1120585"/>
          <a:chExt cx="771030" cy="247212"/>
        </a:xfrm>
      </cdr:grpSpPr>
      <cdr:sp macro="" textlink="">
        <cdr:nvSpPr>
          <cdr:cNvPr id="58384" name="Text Box 16"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Avg Cost Per Minute</a:t>
            </a:r>
          </a:p>
        </cdr:txBody>
      </cdr:sp>
      <cdr:sp macro="" textlink="">
        <cdr:nvSpPr>
          <cdr:cNvPr id="58385" name="Line 17"/>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8388"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8389"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8390"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0.08478</cdr:y>
    </cdr:from>
    <cdr:to>
      <cdr:x>0.19078</cdr:x>
      <cdr:y>0.14113</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93772"/>
          <a:ext cx="1632866" cy="328174"/>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7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7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TSM">
          <a:extLst xmlns:a="http://schemas.openxmlformats.org/drawingml/2006/main">
            <a:ext uri="{FF2B5EF4-FFF2-40B4-BE49-F238E27FC236}">
              <a16:creationId xmlns:a16="http://schemas.microsoft.com/office/drawing/2014/main" id="{B8A96E05-DD73-4168-68F6-DFA7085B645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TSM">
          <a:extLst xmlns:a="http://schemas.openxmlformats.org/drawingml/2006/main">
            <a:ext uri="{FF2B5EF4-FFF2-40B4-BE49-F238E27FC236}">
              <a16:creationId xmlns:a16="http://schemas.microsoft.com/office/drawing/2014/main" id="{C823E874-95B6-CBC0-B6EF-96B711E992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TSM">
          <a:extLst xmlns:a="http://schemas.openxmlformats.org/drawingml/2006/main">
            <a:ext uri="{FF2B5EF4-FFF2-40B4-BE49-F238E27FC236}">
              <a16:creationId xmlns:a16="http://schemas.microsoft.com/office/drawing/2014/main" id="{F5D5A12B-3A03-8755-052C-98A8BAAA2D3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TSM">
          <a:extLst xmlns:a="http://schemas.openxmlformats.org/drawingml/2006/main">
            <a:ext uri="{FF2B5EF4-FFF2-40B4-BE49-F238E27FC236}">
              <a16:creationId xmlns:a16="http://schemas.microsoft.com/office/drawing/2014/main" id="{3C60D5A8-E1CD-F725-69FB-FB408A9D702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TSM">
          <a:extLst xmlns:a="http://schemas.openxmlformats.org/drawingml/2006/main">
            <a:ext uri="{FF2B5EF4-FFF2-40B4-BE49-F238E27FC236}">
              <a16:creationId xmlns:a16="http://schemas.microsoft.com/office/drawing/2014/main" id="{EC202899-82D7-FB38-F0A4-DF3E942E8611}"/>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TSM">
          <a:extLst xmlns:a="http://schemas.openxmlformats.org/drawingml/2006/main">
            <a:ext uri="{FF2B5EF4-FFF2-40B4-BE49-F238E27FC236}">
              <a16:creationId xmlns:a16="http://schemas.microsoft.com/office/drawing/2014/main" id="{7B484447-44C3-131D-2D7A-0CCCE89E0E3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21.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2.xml><?xml version="1.0" encoding="utf-8"?>
<c:userShapes xmlns:c="http://schemas.openxmlformats.org/drawingml/2006/chart">
  <cdr:relSizeAnchor xmlns:cdr="http://schemas.openxmlformats.org/drawingml/2006/chartDrawing">
    <cdr:from>
      <cdr:x>0.81375</cdr:x>
      <cdr:y>0</cdr:y>
    </cdr:from>
    <cdr:to>
      <cdr:x>0.988</cdr:x>
      <cdr:y>0.1255</cdr:y>
    </cdr:to>
    <cdr:pic>
      <cdr:nvPicPr>
        <cdr:cNvPr id="57348" name="Picture 4" descr="_Mobile3x8 12-21-03">
          <a:extLst xmlns:a="http://schemas.openxmlformats.org/drawingml/2006/main">
            <a:ext uri="{FF2B5EF4-FFF2-40B4-BE49-F238E27FC236}">
              <a16:creationId xmlns:a16="http://schemas.microsoft.com/office/drawing/2014/main" id="{FF08BECD-31F2-C1C4-5421-0C4E48D9B43A}"/>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83623"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0.13175</cdr:x>
      <cdr:y>0.16175</cdr:y>
    </cdr:from>
    <cdr:to>
      <cdr:x>0.2035</cdr:x>
      <cdr:y>0.209</cdr:y>
    </cdr:to>
    <cdr:grpSp>
      <cdr:nvGrpSpPr>
        <cdr:cNvPr id="57351" name="Group 7">
          <a:extLst xmlns:a="http://schemas.openxmlformats.org/drawingml/2006/main">
            <a:ext uri="{FF2B5EF4-FFF2-40B4-BE49-F238E27FC236}">
              <a16:creationId xmlns:a16="http://schemas.microsoft.com/office/drawing/2014/main" id="{884CA5D8-1B54-3C50-1CA5-6BA03D8BBE78}"/>
            </a:ext>
          </a:extLst>
        </cdr:cNvPr>
        <cdr:cNvGrpSpPr>
          <a:grpSpLocks xmlns:a="http://schemas.openxmlformats.org/drawingml/2006/main"/>
        </cdr:cNvGrpSpPr>
      </cdr:nvGrpSpPr>
      <cdr:grpSpPr bwMode="auto">
        <a:xfrm xmlns:a="http://schemas.openxmlformats.org/drawingml/2006/main">
          <a:off x="1130995" y="943660"/>
          <a:ext cx="615932" cy="275659"/>
          <a:chOff x="824979" y="1120585"/>
          <a:chExt cx="771030" cy="247212"/>
        </a:xfrm>
      </cdr:grpSpPr>
      <cdr:sp macro="" textlink="">
        <cdr:nvSpPr>
          <cdr:cNvPr id="57352" name="Text Box 8"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Cumulative Savings</a:t>
            </a:r>
          </a:p>
        </cdr:txBody>
      </cdr:sp>
      <cdr:sp macro="" textlink="">
        <cdr:nvSpPr>
          <cdr:cNvPr id="57353" name="Line 9"/>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7359"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7360"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7361"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0.08816</cdr:y>
    </cdr:from>
    <cdr:to>
      <cdr:x>0.23529</cdr:x>
      <cdr:y>0.15967</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13443"/>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MSC">
          <a:extLst xmlns:a="http://schemas.openxmlformats.org/drawingml/2006/main">
            <a:ext uri="{FF2B5EF4-FFF2-40B4-BE49-F238E27FC236}">
              <a16:creationId xmlns:a16="http://schemas.microsoft.com/office/drawing/2014/main" id="{AE89F300-012F-0134-0263-57927E5EA19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MSC">
          <a:extLst xmlns:a="http://schemas.openxmlformats.org/drawingml/2006/main">
            <a:ext uri="{FF2B5EF4-FFF2-40B4-BE49-F238E27FC236}">
              <a16:creationId xmlns:a16="http://schemas.microsoft.com/office/drawing/2014/main" id="{5260C1A1-4330-0CA2-8450-6F148E885D9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MSC">
          <a:extLst xmlns:a="http://schemas.openxmlformats.org/drawingml/2006/main">
            <a:ext uri="{FF2B5EF4-FFF2-40B4-BE49-F238E27FC236}">
              <a16:creationId xmlns:a16="http://schemas.microsoft.com/office/drawing/2014/main" id="{CFA007F8-3596-3BAC-F0AF-15099FA397C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MSC">
          <a:extLst xmlns:a="http://schemas.openxmlformats.org/drawingml/2006/main">
            <a:ext uri="{FF2B5EF4-FFF2-40B4-BE49-F238E27FC236}">
              <a16:creationId xmlns:a16="http://schemas.microsoft.com/office/drawing/2014/main" id="{987EC372-0D75-748A-3044-A19E1FA379D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MSC">
          <a:extLst xmlns:a="http://schemas.openxmlformats.org/drawingml/2006/main">
            <a:ext uri="{FF2B5EF4-FFF2-40B4-BE49-F238E27FC236}">
              <a16:creationId xmlns:a16="http://schemas.microsoft.com/office/drawing/2014/main" id="{ACC783E9-DD68-0FC7-FAAC-19A244961EF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MSC">
          <a:extLst xmlns:a="http://schemas.openxmlformats.org/drawingml/2006/main">
            <a:ext uri="{FF2B5EF4-FFF2-40B4-BE49-F238E27FC236}">
              <a16:creationId xmlns:a16="http://schemas.microsoft.com/office/drawing/2014/main" id="{E3001BB6-D160-B340-3132-13E95B52292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23.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4.xml><?xml version="1.0" encoding="utf-8"?>
<c:userShapes xmlns:c="http://schemas.openxmlformats.org/drawingml/2006/chart">
  <cdr:relSizeAnchor xmlns:cdr="http://schemas.openxmlformats.org/drawingml/2006/chartDrawing">
    <cdr:from>
      <cdr:x>0.8075</cdr:x>
      <cdr:y>0</cdr:y>
    </cdr:from>
    <cdr:to>
      <cdr:x>0.98175</cdr:x>
      <cdr:y>0.1255</cdr:y>
    </cdr:to>
    <cdr:pic>
      <cdr:nvPicPr>
        <cdr:cNvPr id="53252" name="Picture 4" descr="_Mobile3x8 12-21-03">
          <a:extLst xmlns:a="http://schemas.openxmlformats.org/drawingml/2006/main">
            <a:ext uri="{FF2B5EF4-FFF2-40B4-BE49-F238E27FC236}">
              <a16:creationId xmlns:a16="http://schemas.microsoft.com/office/drawing/2014/main" id="{35979129-51D3-88E1-F437-DD1254D70AB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29985"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0.126</cdr:x>
      <cdr:y>0.1715</cdr:y>
    </cdr:from>
    <cdr:to>
      <cdr:x>0.196</cdr:x>
      <cdr:y>0.2155</cdr:y>
    </cdr:to>
    <cdr:grpSp>
      <cdr:nvGrpSpPr>
        <cdr:cNvPr id="53263" name="Group 15">
          <a:extLst xmlns:a="http://schemas.openxmlformats.org/drawingml/2006/main">
            <a:ext uri="{FF2B5EF4-FFF2-40B4-BE49-F238E27FC236}">
              <a16:creationId xmlns:a16="http://schemas.microsoft.com/office/drawing/2014/main" id="{8E8015B0-3AB1-5B86-2638-FDD485249219}"/>
            </a:ext>
          </a:extLst>
        </cdr:cNvPr>
        <cdr:cNvGrpSpPr>
          <a:grpSpLocks xmlns:a="http://schemas.openxmlformats.org/drawingml/2006/main"/>
        </cdr:cNvGrpSpPr>
      </cdr:nvGrpSpPr>
      <cdr:grpSpPr bwMode="auto">
        <a:xfrm xmlns:a="http://schemas.openxmlformats.org/drawingml/2006/main">
          <a:off x="1081635" y="1000542"/>
          <a:ext cx="600909" cy="256698"/>
          <a:chOff x="824979" y="1120585"/>
          <a:chExt cx="771030" cy="247212"/>
        </a:xfrm>
      </cdr:grpSpPr>
      <cdr:sp macro="" textlink="">
        <cdr:nvSpPr>
          <cdr:cNvPr id="53264" name="Text Box 16"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Minutes</a:t>
            </a:r>
          </a:p>
        </cdr:txBody>
      </cdr:sp>
      <cdr:sp macro="" textlink="">
        <cdr:nvSpPr>
          <cdr:cNvPr id="53265" name="Line 17"/>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0.88525</cdr:x>
      <cdr:y>0.171</cdr:y>
    </cdr:from>
    <cdr:to>
      <cdr:x>0.94775</cdr:x>
      <cdr:y>0.2155</cdr:y>
    </cdr:to>
    <cdr:grpSp>
      <cdr:nvGrpSpPr>
        <cdr:cNvPr id="53269" name="Group 21">
          <a:extLst xmlns:a="http://schemas.openxmlformats.org/drawingml/2006/main">
            <a:ext uri="{FF2B5EF4-FFF2-40B4-BE49-F238E27FC236}">
              <a16:creationId xmlns:a16="http://schemas.microsoft.com/office/drawing/2014/main" id="{4F1051ED-6C38-B5BC-6C73-26B361CFA7D6}"/>
            </a:ext>
          </a:extLst>
        </cdr:cNvPr>
        <cdr:cNvGrpSpPr>
          <a:grpSpLocks xmlns:a="http://schemas.openxmlformats.org/drawingml/2006/main"/>
        </cdr:cNvGrpSpPr>
      </cdr:nvGrpSpPr>
      <cdr:grpSpPr bwMode="auto">
        <a:xfrm xmlns:a="http://schemas.openxmlformats.org/drawingml/2006/main">
          <a:off x="7599345" y="997625"/>
          <a:ext cx="536526" cy="259615"/>
          <a:chOff x="1028552" y="894800"/>
          <a:chExt cx="506792" cy="248150"/>
        </a:xfrm>
      </cdr:grpSpPr>
      <cdr:sp macro="" textlink="">
        <cdr:nvSpPr>
          <cdr:cNvPr id="53270" name="Text Box 22" descr="Slattery-Skanska&#10;Wireless Review&#10;January 2004&#10;Carrier Comparison"/>
          <cdr:cNvSpPr txBox="1">
            <a:spLocks xmlns:a="http://schemas.openxmlformats.org/drawingml/2006/main" noChangeArrowheads="1"/>
          </cdr:cNvSpPr>
        </cdr:nvSpPr>
        <cdr:spPr bwMode="auto">
          <a:xfrm xmlns:a="http://schemas.openxmlformats.org/drawingml/2006/main">
            <a:off x="1028552" y="894800"/>
            <a:ext cx="506792" cy="248150"/>
          </a:xfrm>
          <a:prstGeom xmlns:a="http://schemas.openxmlformats.org/drawingml/2006/main" prst="rect">
            <a:avLst/>
          </a:prstGeom>
          <a:solidFill xmlns:a="http://schemas.openxmlformats.org/drawingml/2006/main">
            <a:srgbClr xmlns:mc="http://schemas.openxmlformats.org/markup-compatibility/2006" xmlns:a14="http://schemas.microsoft.com/office/drawing/2010/main" val="FFFFFF" mc:Ignorable="a14" a14:legacySpreadsheetColorIndex="65"/>
          </a:soli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Avg Cost Per Phone Minutes</a:t>
            </a:r>
          </a:p>
        </cdr:txBody>
      </cdr:sp>
      <cdr:sp macro="" textlink="">
        <cdr:nvSpPr>
          <cdr:cNvPr id="53271" name="Line 23"/>
          <cdr:cNvSpPr>
            <a:spLocks xmlns:a="http://schemas.openxmlformats.org/drawingml/2006/main" noChangeShapeType="1"/>
          </cdr:cNvSpPr>
        </cdr:nvSpPr>
        <cdr:spPr bwMode="auto">
          <a:xfrm xmlns:a="http://schemas.openxmlformats.org/drawingml/2006/main">
            <a:off x="1028552" y="1142950"/>
            <a:ext cx="506792"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3274"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3275"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3276"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0.08583</cdr:y>
    </cdr:from>
    <cdr:to>
      <cdr:x>0.23529</cdr:x>
      <cdr:y>0.15733</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99835"/>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MMACP">
          <a:extLst xmlns:a="http://schemas.openxmlformats.org/drawingml/2006/main">
            <a:ext uri="{FF2B5EF4-FFF2-40B4-BE49-F238E27FC236}">
              <a16:creationId xmlns:a16="http://schemas.microsoft.com/office/drawing/2014/main" id="{30AD056E-1682-931D-D88E-1F8E217776F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MMACP">
          <a:extLst xmlns:a="http://schemas.openxmlformats.org/drawingml/2006/main">
            <a:ext uri="{FF2B5EF4-FFF2-40B4-BE49-F238E27FC236}">
              <a16:creationId xmlns:a16="http://schemas.microsoft.com/office/drawing/2014/main" id="{7AB229A2-5E9B-E1F8-CE1B-4948B292C34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MMACP">
          <a:extLst xmlns:a="http://schemas.openxmlformats.org/drawingml/2006/main">
            <a:ext uri="{FF2B5EF4-FFF2-40B4-BE49-F238E27FC236}">
              <a16:creationId xmlns:a16="http://schemas.microsoft.com/office/drawing/2014/main" id="{A603EF9C-3889-1023-1642-F5AE69387CA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MMACP">
          <a:extLst xmlns:a="http://schemas.openxmlformats.org/drawingml/2006/main">
            <a:ext uri="{FF2B5EF4-FFF2-40B4-BE49-F238E27FC236}">
              <a16:creationId xmlns:a16="http://schemas.microsoft.com/office/drawing/2014/main" id="{918D2BC9-EC04-B792-5784-905178DE5CD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MMACP">
          <a:extLst xmlns:a="http://schemas.openxmlformats.org/drawingml/2006/main">
            <a:ext uri="{FF2B5EF4-FFF2-40B4-BE49-F238E27FC236}">
              <a16:creationId xmlns:a16="http://schemas.microsoft.com/office/drawing/2014/main" id="{9C57DDE1-A61D-7AAB-AFFE-3E91BEB31BB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MMACP">
          <a:extLst xmlns:a="http://schemas.openxmlformats.org/drawingml/2006/main">
            <a:ext uri="{FF2B5EF4-FFF2-40B4-BE49-F238E27FC236}">
              <a16:creationId xmlns:a16="http://schemas.microsoft.com/office/drawing/2014/main" id="{9FFEBAE9-C0B6-B0E1-AB7D-AB717408696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25.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6.xml><?xml version="1.0" encoding="utf-8"?>
<c:userShapes xmlns:c="http://schemas.openxmlformats.org/drawingml/2006/chart">
  <cdr:relSizeAnchor xmlns:cdr="http://schemas.openxmlformats.org/drawingml/2006/chartDrawing">
    <cdr:from>
      <cdr:x>0.8145</cdr:x>
      <cdr:y>0</cdr:y>
    </cdr:from>
    <cdr:to>
      <cdr:x>0.98875</cdr:x>
      <cdr:y>0.1255</cdr:y>
    </cdr:to>
    <cdr:pic>
      <cdr:nvPicPr>
        <cdr:cNvPr id="56326" name="Picture 6" descr="_Mobile3x8 12-21-03">
          <a:extLst xmlns:a="http://schemas.openxmlformats.org/drawingml/2006/main">
            <a:ext uri="{FF2B5EF4-FFF2-40B4-BE49-F238E27FC236}">
              <a16:creationId xmlns:a16="http://schemas.microsoft.com/office/drawing/2014/main" id="{B2DF369F-3910-8509-81F9-0BE6CDD944F4}"/>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90059"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0.09221</cdr:x>
      <cdr:y>0.18458</cdr:y>
    </cdr:from>
    <cdr:to>
      <cdr:x>0.18442</cdr:x>
      <cdr:y>0.24292</cdr:y>
    </cdr:to>
    <cdr:grpSp>
      <cdr:nvGrpSpPr>
        <cdr:cNvPr id="56334" name="Group 14">
          <a:extLst xmlns:a="http://schemas.openxmlformats.org/drawingml/2006/main">
            <a:ext uri="{FF2B5EF4-FFF2-40B4-BE49-F238E27FC236}">
              <a16:creationId xmlns:a16="http://schemas.microsoft.com/office/drawing/2014/main" id="{AF01AA73-A424-1914-F34D-2421D7D5A97C}"/>
            </a:ext>
          </a:extLst>
        </cdr:cNvPr>
        <cdr:cNvGrpSpPr>
          <a:grpSpLocks xmlns:a="http://schemas.openxmlformats.org/drawingml/2006/main"/>
        </cdr:cNvGrpSpPr>
      </cdr:nvGrpSpPr>
      <cdr:grpSpPr bwMode="auto">
        <a:xfrm xmlns:a="http://schemas.openxmlformats.org/drawingml/2006/main">
          <a:off x="791568" y="1076851"/>
          <a:ext cx="791568" cy="340359"/>
          <a:chOff x="693646" y="1038623"/>
          <a:chExt cx="1049397" cy="325921"/>
        </a:xfrm>
      </cdr:grpSpPr>
      <cdr:sp macro="" textlink="">
        <cdr:nvSpPr>
          <cdr:cNvPr id="56335" name="Text Box 15" descr="Slattery-Skanska&#10;Wireless Review&#10;January 2004&#10;Carrier Comparison"/>
          <cdr:cNvSpPr txBox="1">
            <a:spLocks xmlns:a="http://schemas.openxmlformats.org/drawingml/2006/main" noChangeArrowheads="1"/>
          </cdr:cNvSpPr>
        </cdr:nvSpPr>
        <cdr:spPr bwMode="auto">
          <a:xfrm xmlns:a="http://schemas.openxmlformats.org/drawingml/2006/main">
            <a:off x="693646" y="1038623"/>
            <a:ext cx="1049397" cy="26106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Verdana"/>
                <a:ea typeface="Verdana"/>
                <a:cs typeface="Verdana"/>
              </a:rPr>
              <a:t>Monthly Spend</a:t>
            </a:r>
          </a:p>
        </cdr:txBody>
      </cdr:sp>
      <cdr:sp macro="" textlink="">
        <cdr:nvSpPr>
          <cdr:cNvPr id="56336" name="Line 16"/>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0.91029</cdr:x>
      <cdr:y>0.20561</cdr:y>
    </cdr:from>
    <cdr:to>
      <cdr:x>1</cdr:x>
      <cdr:y>0.25234</cdr:y>
    </cdr:to>
    <cdr:sp macro="" textlink="">
      <cdr:nvSpPr>
        <cdr:cNvPr id="56338" name="Text Box 18" descr="Slattery-Skanska&#10;Wireless Review&#10;January 2004&#10;Carrier Comparison"/>
        <cdr:cNvSpPr txBox="1">
          <a:spLocks xmlns:a="http://schemas.openxmlformats.org/drawingml/2006/main" noChangeArrowheads="1"/>
        </cdr:cNvSpPr>
      </cdr:nvSpPr>
      <cdr:spPr bwMode="auto">
        <a:xfrm xmlns:a="http://schemas.openxmlformats.org/drawingml/2006/main">
          <a:off x="7791076" y="1197428"/>
          <a:ext cx="767817" cy="272143"/>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800" b="1" i="0" u="none" strike="noStrike" baseline="0">
              <a:solidFill>
                <a:srgbClr val="000000"/>
              </a:solidFill>
              <a:latin typeface="Verdana"/>
              <a:ea typeface="Verdana"/>
              <a:cs typeface="Verdana"/>
            </a:rPr>
            <a:t>Avg Cost Per Minute</a:t>
          </a:r>
        </a:p>
      </cdr:txBody>
    </cdr:sp>
  </cdr:relSizeAnchor>
  <cdr:relSizeAnchor xmlns:cdr="http://schemas.openxmlformats.org/drawingml/2006/chartDrawing">
    <cdr:from>
      <cdr:x>0</cdr:x>
      <cdr:y>0</cdr:y>
    </cdr:from>
    <cdr:to>
      <cdr:x>0</cdr:x>
      <cdr:y>0</cdr:y>
    </cdr:to>
    <cdr:sp macro="" textlink="">
      <cdr:nvSpPr>
        <cdr:cNvPr id="56339" name="Line 19"/>
        <cdr:cNvSpPr>
          <a:spLocks xmlns:a="http://schemas.openxmlformats.org/drawingml/2006/main" noChangeShapeType="1"/>
        </cdr:cNvSpPr>
      </cdr:nvSpPr>
      <cdr:spPr bwMode="auto">
        <a:xfrm xmlns:a="http://schemas.openxmlformats.org/drawingml/2006/main">
          <a:off x="0" y="0"/>
          <a:ext cx="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relSizeAnchor>
  <cdr:relSizeAnchor xmlns:cdr="http://schemas.openxmlformats.org/drawingml/2006/chartDrawing">
    <cdr:from>
      <cdr:x>0</cdr:x>
      <cdr:y>0.02925</cdr:y>
    </cdr:from>
    <cdr:to>
      <cdr:x>0.21215</cdr:x>
      <cdr:y>0.05999</cdr:y>
    </cdr:to>
    <cdr:sp macro="" textlink="">
      <cdr:nvSpPr>
        <cdr:cNvPr id="56341"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6342"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6343"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0.08816</cdr:y>
    </cdr:from>
    <cdr:to>
      <cdr:x>0.23529</cdr:x>
      <cdr:y>0.15967</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13443"/>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UCPM">
          <a:extLst xmlns:a="http://schemas.openxmlformats.org/drawingml/2006/main">
            <a:ext uri="{FF2B5EF4-FFF2-40B4-BE49-F238E27FC236}">
              <a16:creationId xmlns:a16="http://schemas.microsoft.com/office/drawing/2014/main" id="{6D575466-DF25-BFBC-9621-643F9A9F10D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UCPM">
          <a:extLst xmlns:a="http://schemas.openxmlformats.org/drawingml/2006/main">
            <a:ext uri="{FF2B5EF4-FFF2-40B4-BE49-F238E27FC236}">
              <a16:creationId xmlns:a16="http://schemas.microsoft.com/office/drawing/2014/main" id="{2B90B063-D739-D5D3-EB84-5EC399454FA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UCPM">
          <a:extLst xmlns:a="http://schemas.openxmlformats.org/drawingml/2006/main">
            <a:ext uri="{FF2B5EF4-FFF2-40B4-BE49-F238E27FC236}">
              <a16:creationId xmlns:a16="http://schemas.microsoft.com/office/drawing/2014/main" id="{9E6035CD-D155-6CE2-ED83-F5545957BE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UCPM">
          <a:extLst xmlns:a="http://schemas.openxmlformats.org/drawingml/2006/main">
            <a:ext uri="{FF2B5EF4-FFF2-40B4-BE49-F238E27FC236}">
              <a16:creationId xmlns:a16="http://schemas.microsoft.com/office/drawing/2014/main" id="{BB601519-059E-A4B4-C82D-FAE0C3B02EC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UCPM">
          <a:extLst xmlns:a="http://schemas.openxmlformats.org/drawingml/2006/main">
            <a:ext uri="{FF2B5EF4-FFF2-40B4-BE49-F238E27FC236}">
              <a16:creationId xmlns:a16="http://schemas.microsoft.com/office/drawing/2014/main" id="{7802DBE0-6E8D-53B1-8B97-4244B7ADC74F}"/>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UCPM">
          <a:extLst xmlns:a="http://schemas.openxmlformats.org/drawingml/2006/main">
            <a:ext uri="{FF2B5EF4-FFF2-40B4-BE49-F238E27FC236}">
              <a16:creationId xmlns:a16="http://schemas.microsoft.com/office/drawing/2014/main" id="{5AA375AA-12CA-41A1-7428-1BF15D7E35C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27.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8.xml><?xml version="1.0" encoding="utf-8"?>
<c:userShapes xmlns:c="http://schemas.openxmlformats.org/drawingml/2006/chart">
  <cdr:relSizeAnchor xmlns:cdr="http://schemas.openxmlformats.org/drawingml/2006/chartDrawing">
    <cdr:from>
      <cdr:x>0.8155</cdr:x>
      <cdr:y>0</cdr:y>
    </cdr:from>
    <cdr:to>
      <cdr:x>0.98975</cdr:x>
      <cdr:y>0.1255</cdr:y>
    </cdr:to>
    <cdr:pic>
      <cdr:nvPicPr>
        <cdr:cNvPr id="54276" name="Picture 4" descr="_Mobile3x8 12-21-03">
          <a:extLst xmlns:a="http://schemas.openxmlformats.org/drawingml/2006/main">
            <a:ext uri="{FF2B5EF4-FFF2-40B4-BE49-F238E27FC236}">
              <a16:creationId xmlns:a16="http://schemas.microsoft.com/office/drawing/2014/main" id="{0C892B0D-2484-721F-2E11-7211DA895F36}"/>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98641"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cdr:x>
      <cdr:y>0.02925</cdr:y>
    </cdr:from>
    <cdr:to>
      <cdr:x>0.21215</cdr:x>
      <cdr:y>0.05999</cdr:y>
    </cdr:to>
    <cdr:sp macro="" textlink="">
      <cdr:nvSpPr>
        <cdr:cNvPr id="54289"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4290"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4291"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0.08115</cdr:y>
    </cdr:from>
    <cdr:to>
      <cdr:x>0.23529</cdr:x>
      <cdr:y>0.15266</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72621"/>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UO">
          <a:extLst xmlns:a="http://schemas.openxmlformats.org/drawingml/2006/main">
            <a:ext uri="{FF2B5EF4-FFF2-40B4-BE49-F238E27FC236}">
              <a16:creationId xmlns:a16="http://schemas.microsoft.com/office/drawing/2014/main" id="{FFEA5589-1678-0937-E290-1ABB3B3D4D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UO">
          <a:extLst xmlns:a="http://schemas.openxmlformats.org/drawingml/2006/main">
            <a:ext uri="{FF2B5EF4-FFF2-40B4-BE49-F238E27FC236}">
              <a16:creationId xmlns:a16="http://schemas.microsoft.com/office/drawing/2014/main" id="{C300619A-3D35-96CE-BD19-DAF07C518EA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UO">
          <a:extLst xmlns:a="http://schemas.openxmlformats.org/drawingml/2006/main">
            <a:ext uri="{FF2B5EF4-FFF2-40B4-BE49-F238E27FC236}">
              <a16:creationId xmlns:a16="http://schemas.microsoft.com/office/drawing/2014/main" id="{1368F079-298D-3C9A-5C21-9A0E7F842FF8}"/>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UO">
          <a:extLst xmlns:a="http://schemas.openxmlformats.org/drawingml/2006/main">
            <a:ext uri="{FF2B5EF4-FFF2-40B4-BE49-F238E27FC236}">
              <a16:creationId xmlns:a16="http://schemas.microsoft.com/office/drawing/2014/main" id="{9323A72E-CE64-672F-2214-AA34DD68415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UO">
          <a:extLst xmlns:a="http://schemas.openxmlformats.org/drawingml/2006/main">
            <a:ext uri="{FF2B5EF4-FFF2-40B4-BE49-F238E27FC236}">
              <a16:creationId xmlns:a16="http://schemas.microsoft.com/office/drawing/2014/main" id="{1988E08F-14DC-0D9B-13DC-BB54DC422C0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UO">
          <a:extLst xmlns:a="http://schemas.openxmlformats.org/drawingml/2006/main">
            <a:ext uri="{FF2B5EF4-FFF2-40B4-BE49-F238E27FC236}">
              <a16:creationId xmlns:a16="http://schemas.microsoft.com/office/drawing/2014/main" id="{24EB2D77-DB9B-3689-2CAA-496208F59F2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29.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0.xml><?xml version="1.0" encoding="utf-8"?>
<c:userShapes xmlns:c="http://schemas.openxmlformats.org/drawingml/2006/chart">
  <cdr:relSizeAnchor xmlns:cdr="http://schemas.openxmlformats.org/drawingml/2006/chartDrawing">
    <cdr:from>
      <cdr:x>0.80875</cdr:x>
      <cdr:y>0</cdr:y>
    </cdr:from>
    <cdr:to>
      <cdr:x>0.983</cdr:x>
      <cdr:y>0.1255</cdr:y>
    </cdr:to>
    <cdr:pic>
      <cdr:nvPicPr>
        <cdr:cNvPr id="52228" name="Picture 4" descr="_Mobile3x8 12-21-03">
          <a:extLst xmlns:a="http://schemas.openxmlformats.org/drawingml/2006/main">
            <a:ext uri="{FF2B5EF4-FFF2-40B4-BE49-F238E27FC236}">
              <a16:creationId xmlns:a16="http://schemas.microsoft.com/office/drawing/2014/main" id="{145C32D6-5502-B596-255E-A64B1FF96E2A}"/>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40713"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0.8935</cdr:x>
      <cdr:y>0.13075</cdr:y>
    </cdr:from>
    <cdr:to>
      <cdr:x>0.96325</cdr:x>
      <cdr:y>0.17325</cdr:y>
    </cdr:to>
    <cdr:grpSp>
      <cdr:nvGrpSpPr>
        <cdr:cNvPr id="52234" name="Group 10">
          <a:extLst xmlns:a="http://schemas.openxmlformats.org/drawingml/2006/main">
            <a:ext uri="{FF2B5EF4-FFF2-40B4-BE49-F238E27FC236}">
              <a16:creationId xmlns:a16="http://schemas.microsoft.com/office/drawing/2014/main" id="{C0359712-98C3-0E9F-2E38-1436B002A121}"/>
            </a:ext>
          </a:extLst>
        </cdr:cNvPr>
        <cdr:cNvGrpSpPr>
          <a:grpSpLocks xmlns:a="http://schemas.openxmlformats.org/drawingml/2006/main"/>
        </cdr:cNvGrpSpPr>
      </cdr:nvGrpSpPr>
      <cdr:grpSpPr bwMode="auto">
        <a:xfrm xmlns:a="http://schemas.openxmlformats.org/drawingml/2006/main">
          <a:off x="7670167" y="762804"/>
          <a:ext cx="598762" cy="247947"/>
          <a:chOff x="8112671" y="1120585"/>
          <a:chExt cx="824979" cy="247212"/>
        </a:xfrm>
      </cdr:grpSpPr>
      <cdr:sp macro="" textlink="">
        <cdr:nvSpPr>
          <cdr:cNvPr id="52235" name="Text Box 11" descr="Slattery-Skanska&#10;Wireless Review&#10;January 2004&#10;Carrier Comparison"/>
          <cdr:cNvSpPr txBox="1">
            <a:spLocks xmlns:a="http://schemas.openxmlformats.org/drawingml/2006/main" noChangeArrowheads="1"/>
          </cdr:cNvSpPr>
        </cdr:nvSpPr>
        <cdr:spPr bwMode="auto">
          <a:xfrm xmlns:a="http://schemas.openxmlformats.org/drawingml/2006/main">
            <a:off x="8112671" y="1120585"/>
            <a:ext cx="824979" cy="247212"/>
          </a:xfrm>
          <a:prstGeom xmlns:a="http://schemas.openxmlformats.org/drawingml/2006/main" prst="rect">
            <a:avLst/>
          </a:prstGeom>
          <a:gradFill xmlns:a="http://schemas.openxmlformats.org/drawingml/2006/main" rotWithShape="1">
            <a:gsLst>
              <a:gs pos="0">
                <a:srgbClr val="FFFFCC"/>
              </a:gs>
              <a:gs pos="100000">
                <a:srgbClr val="FFFFCC">
                  <a:gamma/>
                  <a:tint val="50196"/>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Cost Per Minute</a:t>
            </a:r>
          </a:p>
        </cdr:txBody>
      </cdr:sp>
      <cdr:sp macro="" textlink="">
        <cdr:nvSpPr>
          <cdr:cNvPr id="52236" name="Line 12"/>
          <cdr:cNvSpPr>
            <a:spLocks xmlns:a="http://schemas.openxmlformats.org/drawingml/2006/main" noChangeShapeType="1"/>
          </cdr:cNvSpPr>
        </cdr:nvSpPr>
        <cdr:spPr bwMode="auto">
          <a:xfrm xmlns:a="http://schemas.openxmlformats.org/drawingml/2006/main">
            <a:off x="8112671" y="1364544"/>
            <a:ext cx="824979"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0.12625</cdr:x>
      <cdr:y>0.12975</cdr:y>
    </cdr:from>
    <cdr:to>
      <cdr:x>0.1965</cdr:x>
      <cdr:y>0.17325</cdr:y>
    </cdr:to>
    <cdr:grpSp>
      <cdr:nvGrpSpPr>
        <cdr:cNvPr id="52237" name="Group 13">
          <a:extLst xmlns:a="http://schemas.openxmlformats.org/drawingml/2006/main">
            <a:ext uri="{FF2B5EF4-FFF2-40B4-BE49-F238E27FC236}">
              <a16:creationId xmlns:a16="http://schemas.microsoft.com/office/drawing/2014/main" id="{851B25B9-890E-1349-EBAA-D38B983F50C0}"/>
            </a:ext>
          </a:extLst>
        </cdr:cNvPr>
        <cdr:cNvGrpSpPr>
          <a:grpSpLocks xmlns:a="http://schemas.openxmlformats.org/drawingml/2006/main"/>
        </cdr:cNvGrpSpPr>
      </cdr:nvGrpSpPr>
      <cdr:grpSpPr bwMode="auto">
        <a:xfrm xmlns:a="http://schemas.openxmlformats.org/drawingml/2006/main">
          <a:off x="1083781" y="756970"/>
          <a:ext cx="603055" cy="253781"/>
          <a:chOff x="824979" y="1120585"/>
          <a:chExt cx="771030" cy="247212"/>
        </a:xfrm>
      </cdr:grpSpPr>
      <cdr:sp macro="" textlink="">
        <cdr:nvSpPr>
          <cdr:cNvPr id="52238" name="Text Box 14"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52239" name="Line 15"/>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52241"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52242"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52243"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0.08115</cdr:y>
    </cdr:from>
    <cdr:to>
      <cdr:x>0.23529</cdr:x>
      <cdr:y>0.15266</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72620"/>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MMC">
          <a:extLst xmlns:a="http://schemas.openxmlformats.org/drawingml/2006/main">
            <a:ext uri="{FF2B5EF4-FFF2-40B4-BE49-F238E27FC236}">
              <a16:creationId xmlns:a16="http://schemas.microsoft.com/office/drawing/2014/main" id="{F4F2B95D-40DE-0CD8-8A35-A4A7AF4E244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MMC">
          <a:extLst xmlns:a="http://schemas.openxmlformats.org/drawingml/2006/main">
            <a:ext uri="{FF2B5EF4-FFF2-40B4-BE49-F238E27FC236}">
              <a16:creationId xmlns:a16="http://schemas.microsoft.com/office/drawing/2014/main" id="{4FEFBF37-3A97-F17F-0743-597D0FCA0B0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MMC">
          <a:extLst xmlns:a="http://schemas.openxmlformats.org/drawingml/2006/main">
            <a:ext uri="{FF2B5EF4-FFF2-40B4-BE49-F238E27FC236}">
              <a16:creationId xmlns:a16="http://schemas.microsoft.com/office/drawing/2014/main" id="{9DC290E8-28C7-E7CC-0CF7-25BBEF19E9B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MMC">
          <a:extLst xmlns:a="http://schemas.openxmlformats.org/drawingml/2006/main">
            <a:ext uri="{FF2B5EF4-FFF2-40B4-BE49-F238E27FC236}">
              <a16:creationId xmlns:a16="http://schemas.microsoft.com/office/drawing/2014/main" id="{DADFC52C-6655-80EF-C942-68A3054018F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MMC">
          <a:extLst xmlns:a="http://schemas.openxmlformats.org/drawingml/2006/main">
            <a:ext uri="{FF2B5EF4-FFF2-40B4-BE49-F238E27FC236}">
              <a16:creationId xmlns:a16="http://schemas.microsoft.com/office/drawing/2014/main" id="{8008A4DC-A4B0-CDAB-820C-41814C2BE9A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MMC">
          <a:extLst xmlns:a="http://schemas.openxmlformats.org/drawingml/2006/main">
            <a:ext uri="{FF2B5EF4-FFF2-40B4-BE49-F238E27FC236}">
              <a16:creationId xmlns:a16="http://schemas.microsoft.com/office/drawing/2014/main" id="{78DF66D4-7387-7594-421F-588ECB5985D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31.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2.xml><?xml version="1.0" encoding="utf-8"?>
<c:userShapes xmlns:c="http://schemas.openxmlformats.org/drawingml/2006/chart">
  <cdr:relSizeAnchor xmlns:cdr="http://schemas.openxmlformats.org/drawingml/2006/chartDrawing">
    <cdr:from>
      <cdr:x>0.82175</cdr:x>
      <cdr:y>0</cdr:y>
    </cdr:from>
    <cdr:to>
      <cdr:x>0.996</cdr:x>
      <cdr:y>0.1255</cdr:y>
    </cdr:to>
    <cdr:pic>
      <cdr:nvPicPr>
        <cdr:cNvPr id="61444" name="Picture 4" descr="_Mobile3x8 12-21-03">
          <a:extLst xmlns:a="http://schemas.openxmlformats.org/drawingml/2006/main">
            <a:ext uri="{FF2B5EF4-FFF2-40B4-BE49-F238E27FC236}">
              <a16:creationId xmlns:a16="http://schemas.microsoft.com/office/drawing/2014/main" id="{8A1F3E41-2A00-C66C-396E-13B1D8359ABA}"/>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7052279"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0.11175</cdr:x>
      <cdr:y>0.156</cdr:y>
    </cdr:from>
    <cdr:to>
      <cdr:x>0.16925</cdr:x>
      <cdr:y>0.20375</cdr:y>
    </cdr:to>
    <cdr:grpSp>
      <cdr:nvGrpSpPr>
        <cdr:cNvPr id="61460" name="Group 20">
          <a:extLst xmlns:a="http://schemas.openxmlformats.org/drawingml/2006/main">
            <a:ext uri="{FF2B5EF4-FFF2-40B4-BE49-F238E27FC236}">
              <a16:creationId xmlns:a16="http://schemas.microsoft.com/office/drawing/2014/main" id="{DB7E51D4-6E6C-86F5-9EBA-7ADB59CDDB93}"/>
            </a:ext>
          </a:extLst>
        </cdr:cNvPr>
        <cdr:cNvGrpSpPr>
          <a:grpSpLocks xmlns:a="http://schemas.openxmlformats.org/drawingml/2006/main"/>
        </cdr:cNvGrpSpPr>
      </cdr:nvGrpSpPr>
      <cdr:grpSpPr bwMode="auto">
        <a:xfrm xmlns:a="http://schemas.openxmlformats.org/drawingml/2006/main">
          <a:off x="959307" y="910114"/>
          <a:ext cx="493604" cy="278576"/>
          <a:chOff x="824979" y="1120585"/>
          <a:chExt cx="771030" cy="247212"/>
        </a:xfrm>
      </cdr:grpSpPr>
      <cdr:sp macro="" textlink="">
        <cdr:nvSpPr>
          <cdr:cNvPr id="61461" name="Text Box 21"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Spend</a:t>
            </a:r>
          </a:p>
        </cdr:txBody>
      </cdr:sp>
      <cdr:sp macro="" textlink="">
        <cdr:nvSpPr>
          <cdr:cNvPr id="61462" name="Line 22"/>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0.91575</cdr:x>
      <cdr:y>0.156</cdr:y>
    </cdr:from>
    <cdr:to>
      <cdr:x>0.97475</cdr:x>
      <cdr:y>0.207</cdr:y>
    </cdr:to>
    <cdr:grpSp>
      <cdr:nvGrpSpPr>
        <cdr:cNvPr id="61463" name="Group 23">
          <a:extLst xmlns:a="http://schemas.openxmlformats.org/drawingml/2006/main">
            <a:ext uri="{FF2B5EF4-FFF2-40B4-BE49-F238E27FC236}">
              <a16:creationId xmlns:a16="http://schemas.microsoft.com/office/drawing/2014/main" id="{DFE2A098-D2C6-560D-1418-B31CCC237FBD}"/>
            </a:ext>
          </a:extLst>
        </cdr:cNvPr>
        <cdr:cNvGrpSpPr>
          <a:grpSpLocks xmlns:a="http://schemas.openxmlformats.org/drawingml/2006/main"/>
        </cdr:cNvGrpSpPr>
      </cdr:nvGrpSpPr>
      <cdr:grpSpPr bwMode="auto">
        <a:xfrm xmlns:a="http://schemas.openxmlformats.org/drawingml/2006/main">
          <a:off x="7861170" y="910114"/>
          <a:ext cx="506480" cy="297537"/>
          <a:chOff x="824979" y="1120585"/>
          <a:chExt cx="771030" cy="247212"/>
        </a:xfrm>
      </cdr:grpSpPr>
      <cdr:sp macro="" textlink="">
        <cdr:nvSpPr>
          <cdr:cNvPr id="61464" name="Text Box 24"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Minutes</a:t>
            </a:r>
          </a:p>
        </cdr:txBody>
      </cdr:sp>
      <cdr:sp macro="" textlink="">
        <cdr:nvSpPr>
          <cdr:cNvPr id="61465" name="Line 25"/>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61467"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61468"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61469"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0.08583</cdr:y>
    </cdr:from>
    <cdr:to>
      <cdr:x>0.23529</cdr:x>
      <cdr:y>0.15734</cdr:y>
    </cdr:to>
    <cdr:sp macro="" textlink="">
      <cdr:nvSpPr>
        <cdr:cNvPr id="8"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99836"/>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9" name="btn_HomeSMU">
          <a:extLst xmlns:a="http://schemas.openxmlformats.org/drawingml/2006/main">
            <a:ext uri="{FF2B5EF4-FFF2-40B4-BE49-F238E27FC236}">
              <a16:creationId xmlns:a16="http://schemas.microsoft.com/office/drawing/2014/main" id="{DA56FD06-2EC0-234B-822B-D2AFC0B14EDA}"/>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0" name="btn_NextSMU">
          <a:extLst xmlns:a="http://schemas.openxmlformats.org/drawingml/2006/main">
            <a:ext uri="{FF2B5EF4-FFF2-40B4-BE49-F238E27FC236}">
              <a16:creationId xmlns:a16="http://schemas.microsoft.com/office/drawing/2014/main" id="{8BBEF3F7-9A69-26E3-2E88-71530B58F5E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1" name="btn_PreviousSMU">
          <a:extLst xmlns:a="http://schemas.openxmlformats.org/drawingml/2006/main">
            <a:ext uri="{FF2B5EF4-FFF2-40B4-BE49-F238E27FC236}">
              <a16:creationId xmlns:a16="http://schemas.microsoft.com/office/drawing/2014/main" id="{B8ECA447-F198-9796-6E1D-3E3C731AAF8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2" name="btn_Zoom_InSMU">
          <a:extLst xmlns:a="http://schemas.openxmlformats.org/drawingml/2006/main">
            <a:ext uri="{FF2B5EF4-FFF2-40B4-BE49-F238E27FC236}">
              <a16:creationId xmlns:a16="http://schemas.microsoft.com/office/drawing/2014/main" id="{B0238AC0-57F0-9DC0-4958-1B344FBA58A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3" name="btn_Zoom_OutSMU">
          <a:extLst xmlns:a="http://schemas.openxmlformats.org/drawingml/2006/main">
            <a:ext uri="{FF2B5EF4-FFF2-40B4-BE49-F238E27FC236}">
              <a16:creationId xmlns:a16="http://schemas.microsoft.com/office/drawing/2014/main" id="{8A9DDE5C-5347-AF5F-FC33-D5C25FD6B74D}"/>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4" name="btn_PrintSMU">
          <a:extLst xmlns:a="http://schemas.openxmlformats.org/drawingml/2006/main">
            <a:ext uri="{FF2B5EF4-FFF2-40B4-BE49-F238E27FC236}">
              <a16:creationId xmlns:a16="http://schemas.microsoft.com/office/drawing/2014/main" id="{7546EC63-9B09-A9C0-12DB-A1EF5F4630E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33.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4.xml><?xml version="1.0" encoding="utf-8"?>
<c:userShapes xmlns:c="http://schemas.openxmlformats.org/drawingml/2006/chart">
  <cdr:relSizeAnchor xmlns:cdr="http://schemas.openxmlformats.org/drawingml/2006/chartDrawing">
    <cdr:from>
      <cdr:x>0.79675</cdr:x>
      <cdr:y>0</cdr:y>
    </cdr:from>
    <cdr:to>
      <cdr:x>0.971</cdr:x>
      <cdr:y>0.1255</cdr:y>
    </cdr:to>
    <cdr:pic>
      <cdr:nvPicPr>
        <cdr:cNvPr id="60420" name="Picture 4" descr="_Mobile3x8 12-21-03">
          <a:extLst xmlns:a="http://schemas.openxmlformats.org/drawingml/2006/main">
            <a:ext uri="{FF2B5EF4-FFF2-40B4-BE49-F238E27FC236}">
              <a16:creationId xmlns:a16="http://schemas.microsoft.com/office/drawing/2014/main" id="{BD85EF2D-26D7-F335-3742-51402508D3F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837728"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0.08898</cdr:x>
      <cdr:y>0.16791</cdr:y>
    </cdr:from>
    <cdr:to>
      <cdr:x>0.16375</cdr:x>
      <cdr:y>0.2243</cdr:y>
    </cdr:to>
    <cdr:grpSp>
      <cdr:nvGrpSpPr>
        <cdr:cNvPr id="2" name="Group 1">
          <a:extLst xmlns:a="http://schemas.openxmlformats.org/drawingml/2006/main">
            <a:ext uri="{FF2B5EF4-FFF2-40B4-BE49-F238E27FC236}">
              <a16:creationId xmlns:a16="http://schemas.microsoft.com/office/drawing/2014/main" id="{5481F1D6-099E-1AD5-D849-DD4A3FEA8F61}"/>
            </a:ext>
          </a:extLst>
        </cdr:cNvPr>
        <cdr:cNvGrpSpPr/>
      </cdr:nvGrpSpPr>
      <cdr:grpSpPr>
        <a:xfrm xmlns:a="http://schemas.openxmlformats.org/drawingml/2006/main">
          <a:off x="763840" y="979597"/>
          <a:ext cx="641856" cy="328983"/>
          <a:chOff x="761575" y="977907"/>
          <a:chExt cx="639961" cy="328382"/>
        </a:xfrm>
      </cdr:grpSpPr>
      <cdr:sp macro="" textlink="">
        <cdr:nvSpPr>
          <cdr:cNvPr id="60429" name="Text Box 13" descr="Slattery-Skanska&#10;Wireless Review&#10;January 2004&#10;Carrier Comparison"/>
          <cdr:cNvSpPr txBox="1">
            <a:spLocks xmlns:a="http://schemas.openxmlformats.org/drawingml/2006/main" noChangeArrowheads="1"/>
          </cdr:cNvSpPr>
        </cdr:nvSpPr>
        <cdr:spPr bwMode="auto">
          <a:xfrm xmlns:a="http://schemas.openxmlformats.org/drawingml/2006/main">
            <a:off x="761575" y="977907"/>
            <a:ext cx="639961" cy="32838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900" b="1" i="0" u="none" strike="noStrike" baseline="0">
                <a:solidFill>
                  <a:srgbClr val="000000"/>
                </a:solidFill>
                <a:latin typeface="Verdana"/>
                <a:ea typeface="Verdana"/>
                <a:cs typeface="Verdana"/>
              </a:rPr>
              <a:t>Monthly</a:t>
            </a:r>
            <a:r>
              <a:rPr lang="en-US" sz="700" b="1" i="0" u="none" strike="noStrike" baseline="0">
                <a:solidFill>
                  <a:srgbClr val="000000"/>
                </a:solidFill>
                <a:latin typeface="Verdana"/>
                <a:ea typeface="Verdana"/>
                <a:cs typeface="Verdana"/>
              </a:rPr>
              <a:t> Spend</a:t>
            </a:r>
          </a:p>
        </cdr:txBody>
      </cdr:sp>
      <cdr:sp macro="" textlink="">
        <cdr:nvSpPr>
          <cdr:cNvPr id="60430" name="Line 14"/>
          <cdr:cNvSpPr>
            <a:spLocks xmlns:a="http://schemas.openxmlformats.org/drawingml/2006/main" noChangeShapeType="1"/>
          </cdr:cNvSpPr>
        </cdr:nvSpPr>
        <cdr:spPr bwMode="auto">
          <a:xfrm xmlns:a="http://schemas.openxmlformats.org/drawingml/2006/main">
            <a:off x="802396" y="1248702"/>
            <a:ext cx="502835"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0.90975</cdr:x>
      <cdr:y>0.16825</cdr:y>
    </cdr:from>
    <cdr:to>
      <cdr:x>0.968</cdr:x>
      <cdr:y>0.214</cdr:y>
    </cdr:to>
    <cdr:grpSp>
      <cdr:nvGrpSpPr>
        <cdr:cNvPr id="60435" name="Group 19">
          <a:extLst xmlns:a="http://schemas.openxmlformats.org/drawingml/2006/main">
            <a:ext uri="{FF2B5EF4-FFF2-40B4-BE49-F238E27FC236}">
              <a16:creationId xmlns:a16="http://schemas.microsoft.com/office/drawing/2014/main" id="{3BD47F1B-C7C3-D29A-BEBF-F7021E393D05}"/>
            </a:ext>
          </a:extLst>
        </cdr:cNvPr>
        <cdr:cNvGrpSpPr>
          <a:grpSpLocks xmlns:a="http://schemas.openxmlformats.org/drawingml/2006/main"/>
        </cdr:cNvGrpSpPr>
      </cdr:nvGrpSpPr>
      <cdr:grpSpPr bwMode="auto">
        <a:xfrm xmlns:a="http://schemas.openxmlformats.org/drawingml/2006/main">
          <a:off x="7809663" y="981581"/>
          <a:ext cx="500042" cy="266908"/>
          <a:chOff x="824979" y="1120585"/>
          <a:chExt cx="771030" cy="247212"/>
        </a:xfrm>
      </cdr:grpSpPr>
      <cdr:sp macro="" textlink="">
        <cdr:nvSpPr>
          <cdr:cNvPr id="60436" name="Text Box 20" descr="Slattery-Skanska&#10;Wireless Review&#10;January 2004&#10;Carrier Comparison"/>
          <cdr:cNvSpPr txBox="1">
            <a:spLocks xmlns:a="http://schemas.openxmlformats.org/drawingml/2006/main" noChangeArrowheads="1"/>
          </cdr:cNvSpPr>
        </cdr:nvSpPr>
        <cdr:spPr bwMode="auto">
          <a:xfrm xmlns:a="http://schemas.openxmlformats.org/drawingml/2006/main">
            <a:off x="824979" y="1120585"/>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700" b="1" i="0" u="none" strike="noStrike" baseline="0">
                <a:solidFill>
                  <a:srgbClr val="000000"/>
                </a:solidFill>
                <a:latin typeface="Verdana"/>
                <a:ea typeface="Verdana"/>
                <a:cs typeface="Verdana"/>
              </a:rPr>
              <a:t>Monthly Minutes</a:t>
            </a:r>
          </a:p>
        </cdr:txBody>
      </cdr:sp>
      <cdr:sp macro="" textlink="">
        <cdr:nvSpPr>
          <cdr:cNvPr id="60437" name="Line 21"/>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cdr:x>
      <cdr:y>0.02925</cdr:y>
    </cdr:from>
    <cdr:to>
      <cdr:x>0.21215</cdr:x>
      <cdr:y>0.05999</cdr:y>
    </cdr:to>
    <cdr:sp macro="" textlink="">
      <cdr:nvSpPr>
        <cdr:cNvPr id="60439"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60440"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60441"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0.08816</cdr:y>
    </cdr:from>
    <cdr:to>
      <cdr:x>0.23529</cdr:x>
      <cdr:y>0.15967</cdr:y>
    </cdr:to>
    <cdr:sp macro="" textlink="">
      <cdr:nvSpPr>
        <cdr:cNvPr id="9"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513443"/>
          <a:ext cx="2013857" cy="416461"/>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9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9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10" name="btn_HomeNSMU">
          <a:extLst xmlns:a="http://schemas.openxmlformats.org/drawingml/2006/main">
            <a:ext uri="{FF2B5EF4-FFF2-40B4-BE49-F238E27FC236}">
              <a16:creationId xmlns:a16="http://schemas.microsoft.com/office/drawing/2014/main" id="{3A462D93-FDBB-6563-540E-826BB3AB7C9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2"/>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1" name="btn_NextNSMU">
          <a:extLst xmlns:a="http://schemas.openxmlformats.org/drawingml/2006/main">
            <a:ext uri="{FF2B5EF4-FFF2-40B4-BE49-F238E27FC236}">
              <a16:creationId xmlns:a16="http://schemas.microsoft.com/office/drawing/2014/main" id="{18CD0017-E106-CAAC-9C08-7A7B7B81B36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2" name="btn_PreviousNSMU">
          <a:extLst xmlns:a="http://schemas.openxmlformats.org/drawingml/2006/main">
            <a:ext uri="{FF2B5EF4-FFF2-40B4-BE49-F238E27FC236}">
              <a16:creationId xmlns:a16="http://schemas.microsoft.com/office/drawing/2014/main" id="{02BE5C6E-B795-AF63-AEDB-9D160A7149F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3" name="btn_Zoom_InNSMU">
          <a:extLst xmlns:a="http://schemas.openxmlformats.org/drawingml/2006/main">
            <a:ext uri="{FF2B5EF4-FFF2-40B4-BE49-F238E27FC236}">
              <a16:creationId xmlns:a16="http://schemas.microsoft.com/office/drawing/2014/main" id="{1FD96C98-9C5D-2C62-8343-F06AD0FBA996}"/>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4" name="btn_Zoom_OutNSMU">
          <a:extLst xmlns:a="http://schemas.openxmlformats.org/drawingml/2006/main">
            <a:ext uri="{FF2B5EF4-FFF2-40B4-BE49-F238E27FC236}">
              <a16:creationId xmlns:a16="http://schemas.microsoft.com/office/drawing/2014/main" id="{20BB6636-69A1-40A8-D95E-A6A1C8045F3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5" name="btn_PrintNSMU">
          <a:extLst xmlns:a="http://schemas.openxmlformats.org/drawingml/2006/main">
            <a:ext uri="{FF2B5EF4-FFF2-40B4-BE49-F238E27FC236}">
              <a16:creationId xmlns:a16="http://schemas.microsoft.com/office/drawing/2014/main" id="{E268420D-8194-E095-153C-73ADBAF3DDA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drawings/drawing35.xml><?xml version="1.0" encoding="utf-8"?>
<xdr:wsDr xmlns:xdr="http://schemas.openxmlformats.org/drawingml/2006/spreadsheetDrawing" xmlns:a="http://schemas.openxmlformats.org/drawingml/2006/main">
  <xdr:absoluteAnchor>
    <xdr:pos x="0" y="0"/>
    <xdr:ext cx="8584406" cy="5834062"/>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6.xml><?xml version="1.0" encoding="utf-8"?>
<c:userShapes xmlns:c="http://schemas.openxmlformats.org/drawingml/2006/chart">
  <cdr:relSizeAnchor xmlns:cdr="http://schemas.openxmlformats.org/drawingml/2006/chartDrawing">
    <cdr:from>
      <cdr:x>0.25714</cdr:x>
      <cdr:y>0.22041</cdr:y>
    </cdr:from>
    <cdr:to>
      <cdr:x>0.76589</cdr:x>
      <cdr:y>0.70266</cdr:y>
    </cdr:to>
    <cdr:graphicFrame macro="">
      <cdr:nvGraphicFramePr>
        <cdr:cNvPr id="64513" name="Chart 1">
          <a:extLst xmlns:a="http://schemas.openxmlformats.org/drawingml/2006/main">
            <a:ext uri="{FF2B5EF4-FFF2-40B4-BE49-F238E27FC236}">
              <a16:creationId xmlns:a16="http://schemas.microsoft.com/office/drawing/2014/main" id="{17ACB03D-18B0-1EE3-257D-1D29BAC59BB1}"/>
            </a:ext>
          </a:extLst>
        </cdr:cNvPr>
        <cdr:cNvGraphicFramePr>
          <a:graphicFrameLocks xmlns:a="http://schemas.openxmlformats.org/drawingml/2006/main"/>
        </cdr:cNvGraphicFramePr>
      </cdr:nvGraphicFramePr>
      <cdr:xfrm>
        <a:off xmlns:a="http://schemas.openxmlformats.org/drawingml/2006/main" x="0" y="0"/>
        <a:ext xmlns:a="http://schemas.openxmlformats.org/drawingml/2006/main" cx="0" cy="0"/>
      </cdr: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cdr:graphicFrame>
  </cdr:relSizeAnchor>
  <cdr:relSizeAnchor xmlns:cdr="http://schemas.openxmlformats.org/drawingml/2006/chartDrawing">
    <cdr:from>
      <cdr:x>0.8155</cdr:x>
      <cdr:y>0</cdr:y>
    </cdr:from>
    <cdr:to>
      <cdr:x>0.98975</cdr:x>
      <cdr:y>0.1255</cdr:y>
    </cdr:to>
    <cdr:pic>
      <cdr:nvPicPr>
        <cdr:cNvPr id="64520" name="Picture 8" descr="_Mobile3x8 12-21-03">
          <a:extLst xmlns:a="http://schemas.openxmlformats.org/drawingml/2006/main">
            <a:ext uri="{FF2B5EF4-FFF2-40B4-BE49-F238E27FC236}">
              <a16:creationId xmlns:a16="http://schemas.microsoft.com/office/drawing/2014/main" id="{F9842897-1614-C379-F0A1-19832CB4A6C0}"/>
            </a:ext>
          </a:extLst>
        </cdr:cNvPr>
        <cdr:cNvPicPr>
          <a:picLocks xmlns:a="http://schemas.openxmlformats.org/drawingml/2006/main" noChangeAspect="1" noChangeArrowheads="1"/>
        </cdr:cNvPicPr>
      </cdr:nvPicPr>
      <cdr:blipFill>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l="5606" r="16818"/>
        <a:stretch xmlns:a="http://schemas.openxmlformats.org/drawingml/2006/main">
          <a:fillRect/>
        </a:stretch>
      </cdr:blipFill>
      <cdr:spPr bwMode="auto">
        <a:xfrm xmlns:a="http://schemas.openxmlformats.org/drawingml/2006/main">
          <a:off x="6998641" y="0"/>
          <a:ext cx="1495418" cy="732773"/>
        </a:xfrm>
        <a:prstGeom xmlns:a="http://schemas.openxmlformats.org/drawingml/2006/main" prst="rect">
          <a:avLst/>
        </a:prstGeom>
        <a:noFill xmlns:a="http://schemas.openxmlformats.org/drawingml/2006/main"/>
        <a:extLst xmlns:a="http://schemas.openxmlformats.org/drawingml/2006/main">
          <a:ext uri="{909E8E84-426E-40DD-AFC4-6F175D3DCCD1}">
            <a14:hiddenFill xmlns:a14="http://schemas.microsoft.com/office/drawing/2010/main">
              <a:solidFill>
                <a:srgbClr val="FFFFFF"/>
              </a:solidFill>
            </a14:hiddenFill>
          </a:ext>
        </a:extLst>
      </cdr:spPr>
    </cdr:pic>
  </cdr:relSizeAnchor>
  <cdr:relSizeAnchor xmlns:cdr="http://schemas.openxmlformats.org/drawingml/2006/chartDrawing">
    <cdr:from>
      <cdr:x>0.09057</cdr:x>
      <cdr:y>0.14486</cdr:y>
    </cdr:from>
    <cdr:to>
      <cdr:x>0.1475</cdr:x>
      <cdr:y>0.21084</cdr:y>
    </cdr:to>
    <cdr:grpSp>
      <cdr:nvGrpSpPr>
        <cdr:cNvPr id="64529" name="Group 17">
          <a:extLst xmlns:a="http://schemas.openxmlformats.org/drawingml/2006/main">
            <a:ext uri="{FF2B5EF4-FFF2-40B4-BE49-F238E27FC236}">
              <a16:creationId xmlns:a16="http://schemas.microsoft.com/office/drawing/2014/main" id="{0C61D96D-0A50-9B7F-4CBE-92ADE429F9B5}"/>
            </a:ext>
          </a:extLst>
        </cdr:cNvPr>
        <cdr:cNvGrpSpPr>
          <a:grpSpLocks xmlns:a="http://schemas.openxmlformats.org/drawingml/2006/main"/>
        </cdr:cNvGrpSpPr>
      </cdr:nvGrpSpPr>
      <cdr:grpSpPr bwMode="auto">
        <a:xfrm xmlns:a="http://schemas.openxmlformats.org/drawingml/2006/main">
          <a:off x="777490" y="845122"/>
          <a:ext cx="488710" cy="384932"/>
          <a:chOff x="779366" y="1129340"/>
          <a:chExt cx="816643" cy="247212"/>
        </a:xfrm>
      </cdr:grpSpPr>
      <cdr:sp macro="" textlink="">
        <cdr:nvSpPr>
          <cdr:cNvPr id="64530" name="Text Box 18" descr="Slattery-Skanska&#10;Wireless Review&#10;January 2004&#10;Carrier Comparison"/>
          <cdr:cNvSpPr txBox="1">
            <a:spLocks xmlns:a="http://schemas.openxmlformats.org/drawingml/2006/main" noChangeArrowheads="1"/>
          </cdr:cNvSpPr>
        </cdr:nvSpPr>
        <cdr:spPr bwMode="auto">
          <a:xfrm xmlns:a="http://schemas.openxmlformats.org/drawingml/2006/main">
            <a:off x="779366" y="1129340"/>
            <a:ext cx="771030" cy="247212"/>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900" b="1" i="0" u="none" strike="noStrike" baseline="0">
                <a:solidFill>
                  <a:srgbClr val="000000"/>
                </a:solidFill>
                <a:latin typeface="Verdana"/>
                <a:ea typeface="Verdana"/>
                <a:cs typeface="Verdana"/>
              </a:rPr>
              <a:t>No. of Users</a:t>
            </a:r>
          </a:p>
        </cdr:txBody>
      </cdr:sp>
      <cdr:sp macro="" textlink="">
        <cdr:nvSpPr>
          <cdr:cNvPr id="64531" name="Line 19"/>
          <cdr:cNvSpPr>
            <a:spLocks xmlns:a="http://schemas.openxmlformats.org/drawingml/2006/main" noChangeShapeType="1"/>
          </cdr:cNvSpPr>
        </cdr:nvSpPr>
        <cdr:spPr bwMode="auto">
          <a:xfrm xmlns:a="http://schemas.openxmlformats.org/drawingml/2006/main">
            <a:off x="824979" y="1364544"/>
            <a:ext cx="77103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0.04452</cdr:x>
      <cdr:y>0.90199</cdr:y>
    </cdr:from>
    <cdr:to>
      <cdr:x>0.14626</cdr:x>
      <cdr:y>0.9743</cdr:y>
    </cdr:to>
    <cdr:grpSp>
      <cdr:nvGrpSpPr>
        <cdr:cNvPr id="3" name="Group 2">
          <a:extLst xmlns:a="http://schemas.openxmlformats.org/drawingml/2006/main">
            <a:ext uri="{FF2B5EF4-FFF2-40B4-BE49-F238E27FC236}">
              <a16:creationId xmlns:a16="http://schemas.microsoft.com/office/drawing/2014/main" id="{ACFB5004-99AF-7EF5-EDCC-106CE6A3AC86}"/>
            </a:ext>
          </a:extLst>
        </cdr:cNvPr>
        <cdr:cNvGrpSpPr/>
      </cdr:nvGrpSpPr>
      <cdr:grpSpPr>
        <a:xfrm xmlns:a="http://schemas.openxmlformats.org/drawingml/2006/main">
          <a:off x="382178" y="5262266"/>
          <a:ext cx="873377" cy="421861"/>
          <a:chOff x="381648" y="5250333"/>
          <a:chExt cx="872166" cy="420905"/>
        </a:xfrm>
      </cdr:grpSpPr>
      <cdr:sp macro="" textlink="">
        <cdr:nvSpPr>
          <cdr:cNvPr id="64535" name="Text Box 23" descr="Slattery-Skanska&#10;Wireless Review&#10;January 2004&#10;Carrier Comparison"/>
          <cdr:cNvSpPr txBox="1">
            <a:spLocks xmlns:a="http://schemas.openxmlformats.org/drawingml/2006/main" noChangeArrowheads="1"/>
          </cdr:cNvSpPr>
        </cdr:nvSpPr>
        <cdr:spPr bwMode="auto">
          <a:xfrm xmlns:a="http://schemas.openxmlformats.org/drawingml/2006/main">
            <a:off x="381648" y="5250333"/>
            <a:ext cx="872166" cy="420905"/>
          </a:xfrm>
          <a:prstGeom xmlns:a="http://schemas.openxmlformats.org/drawingml/2006/main" prst="rect">
            <a:avLst/>
          </a:prstGeom>
          <a:gradFill xmlns:a="http://schemas.openxmlformats.org/drawingml/2006/main" rotWithShape="1">
            <a:gsLst>
              <a:gs pos="0">
                <a:srgbClr val="FFFFCC"/>
              </a:gs>
              <a:gs pos="100000">
                <a:srgbClr val="FFFFCC">
                  <a:gamma/>
                  <a:tint val="13725"/>
                  <a:invGamma/>
                </a:srgbClr>
              </a:gs>
            </a:gsLst>
            <a:lin ang="5400000" scaled="1"/>
          </a:gradFill>
          <a:ln xmlns:a="http://schemas.openxmlformats.org/drawingml/2006/main">
            <a:noFill/>
          </a:ln>
          <a:effectLst xmlns:a="http://schemas.openxmlformats.org/drawingml/2006/main"/>
          <a:extLst xmlns:a="http://schemas.openxmlformats.org/drawingml/2006/main">
            <a:ext uri="{91240B29-F687-4F45-9708-019B960494DF}">
              <a14:hiddenLine xmlns:a14="http://schemas.microsoft.com/office/drawing/2010/main" w="25400" algn="ctr">
                <a:solidFill>
                  <a:srgbClr xmlns:mc="http://schemas.openxmlformats.org/markup-compatibility/2006" val="FFFFFF" mc:Ignorable="a14" a14:legacySpreadsheetColorIndex="9"/>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27432" tIns="18288" rIns="27432" bIns="0" anchor="t" upright="1"/>
          <a:lstStyle xmlns:a="http://schemas.openxmlformats.org/drawingml/2006/main"/>
          <a:p xmlns:a="http://schemas.openxmlformats.org/drawingml/2006/main">
            <a:pPr algn="ctr" rtl="0">
              <a:defRPr sz="1000"/>
            </a:pPr>
            <a:r>
              <a:rPr lang="en-US" sz="900" b="1" i="0" u="none" strike="noStrike" baseline="0">
                <a:solidFill>
                  <a:srgbClr val="000000"/>
                </a:solidFill>
                <a:latin typeface="Verdana"/>
                <a:ea typeface="Verdana"/>
                <a:cs typeface="Verdana"/>
              </a:rPr>
              <a:t>Cost per  Minute</a:t>
            </a:r>
          </a:p>
        </cdr:txBody>
      </cdr:sp>
      <cdr:sp macro="" textlink="">
        <cdr:nvSpPr>
          <cdr:cNvPr id="64536" name="Line 24"/>
          <cdr:cNvSpPr>
            <a:spLocks xmlns:a="http://schemas.openxmlformats.org/drawingml/2006/main" noChangeShapeType="1"/>
          </cdr:cNvSpPr>
        </cdr:nvSpPr>
        <cdr:spPr bwMode="auto">
          <a:xfrm xmlns:a="http://schemas.openxmlformats.org/drawingml/2006/main">
            <a:off x="449789" y="5556811"/>
            <a:ext cx="644710" cy="0"/>
          </a:xfrm>
          <a:prstGeom xmlns:a="http://schemas.openxmlformats.org/drawingml/2006/main" prst="line">
            <a:avLst/>
          </a:prstGeom>
          <a:noFill xmlns:a="http://schemas.openxmlformats.org/drawingml/2006/main"/>
          <a:ln xmlns:a="http://schemas.openxmlformats.org/drawingml/2006/main" w="19050">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cdr:spPr>
      </cdr:sp>
    </cdr:grpSp>
  </cdr:relSizeAnchor>
  <cdr:relSizeAnchor xmlns:cdr="http://schemas.openxmlformats.org/drawingml/2006/chartDrawing">
    <cdr:from>
      <cdr:x>0.6556</cdr:x>
      <cdr:y>0.2147</cdr:y>
    </cdr:from>
    <cdr:to>
      <cdr:x>0.95185</cdr:x>
      <cdr:y>0.35745</cdr:y>
    </cdr:to>
    <cdr:sp macro="" textlink="">
      <cdr:nvSpPr>
        <cdr:cNvPr id="64537" name="Oval 25"/>
        <cdr:cNvSpPr>
          <a:spLocks xmlns:a="http://schemas.openxmlformats.org/drawingml/2006/main" noChangeArrowheads="1"/>
        </cdr:cNvSpPr>
      </cdr:nvSpPr>
      <cdr:spPr bwMode="auto">
        <a:xfrm xmlns:a="http://schemas.openxmlformats.org/drawingml/2006/main">
          <a:off x="5620147" y="1249759"/>
          <a:ext cx="2539603" cy="830924"/>
        </a:xfrm>
        <a:prstGeom xmlns:a="http://schemas.openxmlformats.org/drawingml/2006/main" prst="ellipse">
          <a:avLst/>
        </a:prstGeom>
        <a:solidFill xmlns:a="http://schemas.openxmlformats.org/drawingml/2006/main">
          <a:srgbClr xmlns:mc="http://schemas.openxmlformats.org/markup-compatibility/2006" xmlns:a14="http://schemas.microsoft.com/office/drawing/2010/main" val="FFFFFF" mc:Ignorable="a14" a14:legacySpreadsheetColorIndex="9"/>
        </a:solidFill>
        <a:ln xmlns:a="http://schemas.openxmlformats.org/drawingml/2006/main" w="9525" algn="ctr">
          <a:solidFill>
            <a:srgbClr xmlns:mc="http://schemas.openxmlformats.org/markup-compatibility/2006" xmlns:a14="http://schemas.microsoft.com/office/drawing/2010/main" val="000000" mc:Ignorable="a14" a14:legacySpreadsheetColorIndex="64"/>
          </a:solidFill>
          <a:round/>
          <a:headEnd/>
          <a:tailEnd/>
        </a:ln>
        <a:effectLst xmlns:a="http://schemas.openxmlformats.org/drawingml/2006/main"/>
        <a:extLst xmlns:a="http://schemas.openxmlformats.org/drawingml/2006/main">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vertOverflow="clip" wrap="square" lIns="36576" tIns="32004" rIns="36576" bIns="0" anchor="t" upright="1"/>
        <a:lstStyle xmlns:a="http://schemas.openxmlformats.org/drawingml/2006/main"/>
        <a:p xmlns:a="http://schemas.openxmlformats.org/drawingml/2006/main">
          <a:pPr algn="ctr" rtl="0">
            <a:defRPr sz="1000"/>
          </a:pPr>
          <a:r>
            <a:rPr lang="en-US" sz="1600" b="1" i="0" u="none" strike="noStrike" baseline="0">
              <a:solidFill>
                <a:srgbClr val="0000FF"/>
              </a:solidFill>
              <a:latin typeface="Arial"/>
              <a:cs typeface="Arial"/>
            </a:rPr>
            <a:t>Need to focus on Zero-Use-Phones</a:t>
          </a:r>
        </a:p>
      </cdr:txBody>
    </cdr:sp>
  </cdr:relSizeAnchor>
  <cdr:relSizeAnchor xmlns:cdr="http://schemas.openxmlformats.org/drawingml/2006/chartDrawing">
    <cdr:from>
      <cdr:x>0</cdr:x>
      <cdr:y>0.02925</cdr:y>
    </cdr:from>
    <cdr:to>
      <cdr:x>0.21215</cdr:x>
      <cdr:y>0.05999</cdr:y>
    </cdr:to>
    <cdr:sp macro="" textlink="">
      <cdr:nvSpPr>
        <cdr:cNvPr id="64539" name="Text Box DIV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170259"/>
          <a:ext cx="1818639"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Wireless Savings Review</a:t>
          </a:r>
        </a:p>
      </cdr:txBody>
    </cdr:sp>
  </cdr:relSizeAnchor>
  <cdr:relSizeAnchor xmlns:cdr="http://schemas.openxmlformats.org/drawingml/2006/chartDrawing">
    <cdr:from>
      <cdr:x>0</cdr:x>
      <cdr:y>0.0555</cdr:y>
    </cdr:from>
    <cdr:to>
      <cdr:x>0.11767</cdr:x>
      <cdr:y>0.08624</cdr:y>
    </cdr:to>
    <cdr:sp macro="" textlink="">
      <cdr:nvSpPr>
        <cdr:cNvPr id="64540" name="Text Box Dat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323056"/>
          <a:ext cx="1008738"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January 2023</a:t>
          </a:r>
        </a:p>
      </cdr:txBody>
    </cdr:sp>
  </cdr:relSizeAnchor>
  <cdr:relSizeAnchor xmlns:cdr="http://schemas.openxmlformats.org/drawingml/2006/chartDrawing">
    <cdr:from>
      <cdr:x>0</cdr:x>
      <cdr:y>0</cdr:y>
    </cdr:from>
    <cdr:to>
      <cdr:x>0.14172</cdr:x>
      <cdr:y>0.03074</cdr:y>
    </cdr:to>
    <cdr:sp macro="" textlink="">
      <cdr:nvSpPr>
        <cdr:cNvPr id="64541" name="Text Box COMP NAME" descr="Slattery-Skanska&#10;Wireless Review&#10;January 2004&#10;Carrier Comparison"/>
        <cdr:cNvSpPr txBox="1">
          <a:spLocks xmlns:a="http://schemas.openxmlformats.org/drawingml/2006/main" noChangeArrowheads="1"/>
        </cdr:cNvSpPr>
      </cdr:nvSpPr>
      <cdr:spPr bwMode="auto">
        <a:xfrm xmlns:a="http://schemas.openxmlformats.org/drawingml/2006/main">
          <a:off x="0" y="0"/>
          <a:ext cx="1214884" cy="178960"/>
        </a:xfrm>
        <a:prstGeom xmlns:a="http://schemas.openxmlformats.org/drawingml/2006/main" prst="rect">
          <a:avLst/>
        </a:prstGeom>
        <a:noFill xmlns:a="http://schemas.openxmlformats.org/drawingml/2006/main"/>
        <a:ln xmlns:a="http://schemas.openxmlformats.org/drawingml/2006/main">
          <a:noFill/>
        </a:ln>
        <a:effectLst xmlns:a="http://schemas.openxmlformats.org/drawingml/2006/main"/>
        <a:extLst xmlns:a="http://schemas.openxmlformats.org/drawingml/2006/main">
          <a:ext uri="{909E8E84-426E-40DD-AFC4-6F175D3DCCD1}">
            <a14:hiddenFill xmlns:a14="http://schemas.microsoft.com/office/drawing/2010/main">
              <a:solidFill>
                <a:srgbClr xmlns:mc="http://schemas.openxmlformats.org/markup-compatibility/2006" val="003366" mc:Ignorable="a14" a14:legacySpreadsheetColorIndex="56"/>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cdr:spPr>
      <cdr:txBody>
        <a:bodyPr xmlns:a="http://schemas.openxmlformats.org/drawingml/2006/main" wrap="none" lIns="27432" tIns="22860" rIns="0" bIns="0" anchor="t" upright="1">
          <a:spAutoFit/>
        </a:bodyPr>
        <a:lstStyle xmlns:a="http://schemas.openxmlformats.org/drawingml/2006/main"/>
        <a:p xmlns:a="http://schemas.openxmlformats.org/drawingml/2006/main">
          <a:pPr algn="l" rtl="0">
            <a:defRPr sz="1000"/>
          </a:pPr>
          <a:r>
            <a:rPr lang="en-US" sz="1000" b="1" i="0" u="none" strike="noStrike" baseline="0">
              <a:solidFill>
                <a:srgbClr val="000000"/>
              </a:solidFill>
              <a:latin typeface="Verdana"/>
              <a:ea typeface="Verdana"/>
              <a:cs typeface="Verdana"/>
            </a:rPr>
            <a:t>ABC Corporation</a:t>
          </a:r>
        </a:p>
      </cdr:txBody>
    </cdr:sp>
  </cdr:relSizeAnchor>
  <cdr:relSizeAnchor xmlns:cdr="http://schemas.openxmlformats.org/drawingml/2006/chartDrawing">
    <cdr:from>
      <cdr:x>0</cdr:x>
      <cdr:y>0.08115</cdr:y>
    </cdr:from>
    <cdr:to>
      <cdr:x>0.23529</cdr:x>
      <cdr:y>0.14507</cdr:y>
    </cdr:to>
    <cdr:sp macro="" textlink="">
      <cdr:nvSpPr>
        <cdr:cNvPr id="9" name="TextBox 3">
          <a:extLst xmlns:a="http://schemas.openxmlformats.org/drawingml/2006/main">
            <a:ext uri="{FF2B5EF4-FFF2-40B4-BE49-F238E27FC236}">
              <a16:creationId xmlns:a16="http://schemas.microsoft.com/office/drawing/2014/main" id="{C7C082F1-CB8E-6E41-192A-722CD5B20355}"/>
            </a:ext>
          </a:extLst>
        </cdr:cNvPr>
        <cdr:cNvSpPr txBox="1"/>
      </cdr:nvSpPr>
      <cdr:spPr>
        <a:xfrm xmlns:a="http://schemas.openxmlformats.org/drawingml/2006/main">
          <a:off x="0" y="472621"/>
          <a:ext cx="2013857" cy="372218"/>
        </a:xfrm>
        <a:prstGeom xmlns:a="http://schemas.openxmlformats.org/drawingml/2006/main" prst="rect">
          <a:avLst/>
        </a:prstGeom>
        <a:solidFill xmlns:a="http://schemas.openxmlformats.org/drawingml/2006/main">
          <a:sysClr val="window" lastClr="FFFFFF"/>
        </a:solidFill>
        <a:ln xmlns:a="http://schemas.openxmlformats.org/drawingml/2006/main" w="19050">
          <a:solidFill>
            <a:schemeClr val="accent1"/>
          </a:solidFill>
        </a:ln>
      </cdr:spPr>
      <cdr:txBody>
        <a:bodyPr xmlns:a="http://schemas.openxmlformats.org/drawingml/2006/main" wrap="square" tIns="18288" rIns="0" bIns="0" rtlCol="0">
          <a:sp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800">
              <a:solidFill>
                <a:schemeClr val="accent1"/>
              </a:solidFill>
              <a:latin typeface="Arial" panose="020B0604020202020204" pitchFamily="34" charset="0"/>
              <a:cs typeface="Arial" panose="020B0604020202020204" pitchFamily="34" charset="0"/>
            </a:rPr>
            <a:t>Hire Rich Sweeny!</a:t>
          </a:r>
        </a:p>
        <a:p xmlns:a="http://schemas.openxmlformats.org/drawingml/2006/main">
          <a:r>
            <a:rPr lang="en-US" sz="800">
              <a:solidFill>
                <a:schemeClr val="accent1"/>
              </a:solidFill>
              <a:latin typeface="Arial" panose="020B0604020202020204" pitchFamily="34" charset="0"/>
              <a:cs typeface="Arial" panose="020B0604020202020204" pitchFamily="34" charset="0"/>
            </a:rPr>
            <a:t>RichSweeny@SweenyWasHere.com</a:t>
          </a:r>
        </a:p>
        <a:p xmlns:a="http://schemas.openxmlformats.org/drawingml/2006/main">
          <a:r>
            <a:rPr lang="en-US" sz="800">
              <a:solidFill>
                <a:schemeClr val="accent1"/>
              </a:solidFill>
              <a:latin typeface="Arial" panose="020B0604020202020204" pitchFamily="34" charset="0"/>
              <a:cs typeface="Arial" panose="020B0604020202020204" pitchFamily="34" charset="0"/>
            </a:rPr>
            <a:t>516-359-6454</a:t>
          </a:r>
        </a:p>
      </cdr:txBody>
    </cdr:sp>
  </cdr:relSizeAnchor>
  <cdr:relSizeAnchor xmlns:cdr="http://schemas.openxmlformats.org/drawingml/2006/chartDrawing">
    <cdr:from>
      <cdr:x>0.24444</cdr:x>
      <cdr:y>0</cdr:y>
    </cdr:from>
    <cdr:to>
      <cdr:x>0.3311</cdr:x>
      <cdr:y>0.04908</cdr:y>
    </cdr:to>
    <cdr:pic macro="[0]!btn_Home_Click">
      <cdr:nvPicPr>
        <cdr:cNvPr id="10" name="btn_HomeBLANK">
          <a:extLst xmlns:a="http://schemas.openxmlformats.org/drawingml/2006/main">
            <a:ext uri="{FF2B5EF4-FFF2-40B4-BE49-F238E27FC236}">
              <a16:creationId xmlns:a16="http://schemas.microsoft.com/office/drawing/2014/main" id="{8EDC0D1A-1326-3A53-2897-1234B69C32B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stretch xmlns:a="http://schemas.openxmlformats.org/drawingml/2006/main">
          <a:fillRect/>
        </a:stretch>
      </cdr:blipFill>
      <cdr:spPr>
        <a:xfrm xmlns:a="http://schemas.openxmlformats.org/drawingml/2006/main">
          <a:off x="2095500" y="0"/>
          <a:ext cx="742857" cy="285714"/>
        </a:xfrm>
        <a:prstGeom xmlns:a="http://schemas.openxmlformats.org/drawingml/2006/main" prst="rect">
          <a:avLst/>
        </a:prstGeom>
      </cdr:spPr>
    </cdr:pic>
  </cdr:relSizeAnchor>
  <cdr:relSizeAnchor xmlns:cdr="http://schemas.openxmlformats.org/drawingml/2006/chartDrawing">
    <cdr:from>
      <cdr:x>0.33037</cdr:x>
      <cdr:y>0</cdr:y>
    </cdr:from>
    <cdr:to>
      <cdr:x>0.41703</cdr:x>
      <cdr:y>0.04908</cdr:y>
    </cdr:to>
    <cdr:pic macro="[0]!btn_Next_Click">
      <cdr:nvPicPr>
        <cdr:cNvPr id="11" name="btn_NextBLANK">
          <a:extLst xmlns:a="http://schemas.openxmlformats.org/drawingml/2006/main">
            <a:ext uri="{FF2B5EF4-FFF2-40B4-BE49-F238E27FC236}">
              <a16:creationId xmlns:a16="http://schemas.microsoft.com/office/drawing/2014/main" id="{A3C3DD8B-DF2A-3577-DBA3-0029576477F2}"/>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4"/>
        <a:stretch xmlns:a="http://schemas.openxmlformats.org/drawingml/2006/main">
          <a:fillRect/>
        </a:stretch>
      </cdr:blipFill>
      <cdr:spPr>
        <a:xfrm xmlns:a="http://schemas.openxmlformats.org/drawingml/2006/main">
          <a:off x="2832100" y="0"/>
          <a:ext cx="742857" cy="285714"/>
        </a:xfrm>
        <a:prstGeom xmlns:a="http://schemas.openxmlformats.org/drawingml/2006/main" prst="rect">
          <a:avLst/>
        </a:prstGeom>
      </cdr:spPr>
    </cdr:pic>
  </cdr:relSizeAnchor>
  <cdr:relSizeAnchor xmlns:cdr="http://schemas.openxmlformats.org/drawingml/2006/chartDrawing">
    <cdr:from>
      <cdr:x>0.4163</cdr:x>
      <cdr:y>0</cdr:y>
    </cdr:from>
    <cdr:to>
      <cdr:x>0.50295</cdr:x>
      <cdr:y>0.04908</cdr:y>
    </cdr:to>
    <cdr:pic macro="[0]!btn_Previous_Click">
      <cdr:nvPicPr>
        <cdr:cNvPr id="12" name="btn_PreviousBLANK">
          <a:extLst xmlns:a="http://schemas.openxmlformats.org/drawingml/2006/main">
            <a:ext uri="{FF2B5EF4-FFF2-40B4-BE49-F238E27FC236}">
              <a16:creationId xmlns:a16="http://schemas.microsoft.com/office/drawing/2014/main" id="{089FA436-76C7-96C6-9C7E-6E93D3938093}"/>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5"/>
        <a:stretch xmlns:a="http://schemas.openxmlformats.org/drawingml/2006/main">
          <a:fillRect/>
        </a:stretch>
      </cdr:blipFill>
      <cdr:spPr>
        <a:xfrm xmlns:a="http://schemas.openxmlformats.org/drawingml/2006/main">
          <a:off x="3568700" y="0"/>
          <a:ext cx="742857" cy="285714"/>
        </a:xfrm>
        <a:prstGeom xmlns:a="http://schemas.openxmlformats.org/drawingml/2006/main" prst="rect">
          <a:avLst/>
        </a:prstGeom>
      </cdr:spPr>
    </cdr:pic>
  </cdr:relSizeAnchor>
  <cdr:relSizeAnchor xmlns:cdr="http://schemas.openxmlformats.org/drawingml/2006/chartDrawing">
    <cdr:from>
      <cdr:x>0.50222</cdr:x>
      <cdr:y>0</cdr:y>
    </cdr:from>
    <cdr:to>
      <cdr:x>0.58888</cdr:x>
      <cdr:y>0.04908</cdr:y>
    </cdr:to>
    <cdr:pic macro="[0]!btn_Zoom_In_Click">
      <cdr:nvPicPr>
        <cdr:cNvPr id="13" name="btn_Zoom_InBLANK">
          <a:extLst xmlns:a="http://schemas.openxmlformats.org/drawingml/2006/main">
            <a:ext uri="{FF2B5EF4-FFF2-40B4-BE49-F238E27FC236}">
              <a16:creationId xmlns:a16="http://schemas.microsoft.com/office/drawing/2014/main" id="{341AC3B1-789B-368A-587A-367307DCD22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6"/>
        <a:stretch xmlns:a="http://schemas.openxmlformats.org/drawingml/2006/main">
          <a:fillRect/>
        </a:stretch>
      </cdr:blipFill>
      <cdr:spPr>
        <a:xfrm xmlns:a="http://schemas.openxmlformats.org/drawingml/2006/main">
          <a:off x="4305300" y="0"/>
          <a:ext cx="742857" cy="285714"/>
        </a:xfrm>
        <a:prstGeom xmlns:a="http://schemas.openxmlformats.org/drawingml/2006/main" prst="rect">
          <a:avLst/>
        </a:prstGeom>
      </cdr:spPr>
    </cdr:pic>
  </cdr:relSizeAnchor>
  <cdr:relSizeAnchor xmlns:cdr="http://schemas.openxmlformats.org/drawingml/2006/chartDrawing">
    <cdr:from>
      <cdr:x>0.58815</cdr:x>
      <cdr:y>0</cdr:y>
    </cdr:from>
    <cdr:to>
      <cdr:x>0.6748</cdr:x>
      <cdr:y>0.04908</cdr:y>
    </cdr:to>
    <cdr:pic macro="[0]!btn_Zoom_Out_Click">
      <cdr:nvPicPr>
        <cdr:cNvPr id="14" name="btn_Zoom_OutBLANK">
          <a:extLst xmlns:a="http://schemas.openxmlformats.org/drawingml/2006/main">
            <a:ext uri="{FF2B5EF4-FFF2-40B4-BE49-F238E27FC236}">
              <a16:creationId xmlns:a16="http://schemas.microsoft.com/office/drawing/2014/main" id="{081645D5-A17F-69E0-34E0-24E0C26DB78C}"/>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7"/>
        <a:stretch xmlns:a="http://schemas.openxmlformats.org/drawingml/2006/main">
          <a:fillRect/>
        </a:stretch>
      </cdr:blipFill>
      <cdr:spPr>
        <a:xfrm xmlns:a="http://schemas.openxmlformats.org/drawingml/2006/main">
          <a:off x="5041900" y="0"/>
          <a:ext cx="742857" cy="285714"/>
        </a:xfrm>
        <a:prstGeom xmlns:a="http://schemas.openxmlformats.org/drawingml/2006/main" prst="rect">
          <a:avLst/>
        </a:prstGeom>
      </cdr:spPr>
    </cdr:pic>
  </cdr:relSizeAnchor>
  <cdr:relSizeAnchor xmlns:cdr="http://schemas.openxmlformats.org/drawingml/2006/chartDrawing">
    <cdr:from>
      <cdr:x>0.67407</cdr:x>
      <cdr:y>0</cdr:y>
    </cdr:from>
    <cdr:to>
      <cdr:x>0.79406</cdr:x>
      <cdr:y>0.04908</cdr:y>
    </cdr:to>
    <cdr:pic macro="[0]!btn_Print_Click">
      <cdr:nvPicPr>
        <cdr:cNvPr id="15" name="btn_PrintBLANK">
          <a:extLst xmlns:a="http://schemas.openxmlformats.org/drawingml/2006/main">
            <a:ext uri="{FF2B5EF4-FFF2-40B4-BE49-F238E27FC236}">
              <a16:creationId xmlns:a16="http://schemas.microsoft.com/office/drawing/2014/main" id="{AF078437-8182-D4AF-FB32-E599475E538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8"/>
        <a:stretch xmlns:a="http://schemas.openxmlformats.org/drawingml/2006/main">
          <a:fillRect/>
        </a:stretch>
      </cdr:blipFill>
      <cdr:spPr>
        <a:xfrm xmlns:a="http://schemas.openxmlformats.org/drawingml/2006/main">
          <a:off x="5778500" y="0"/>
          <a:ext cx="1028571" cy="285714"/>
        </a:xfrm>
        <a:prstGeom xmlns:a="http://schemas.openxmlformats.org/drawingml/2006/main" prst="rect">
          <a:avLst/>
        </a:prstGeom>
      </cdr:spPr>
    </cdr:pic>
  </cdr:relSizeAnchor>
</c:userShap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3AEF211-1CE9-4553-9668-DB1A69703F91}" name="DataSource_0" displayName="DataSource_0" ref="B4:AJ17" totalsRowCount="1" headerRowDxfId="133" totalsRowCellStyle="Normal 2">
  <autoFilter ref="B4:AJ16" xr:uid="{F234517B-6B2E-4FF3-8246-A26055E49A2F}"/>
  <tableColumns count="35">
    <tableColumn id="1" xr3:uid="{4BD9401A-1721-42E2-87D4-A7E00E8A931E}" name="Month" dataDxfId="132" totalsRowDxfId="131"/>
    <tableColumn id="2" xr3:uid="{F2A2C099-93F5-40A3-A397-CA245A998F92}" name="No. of Devices" totalsRowDxfId="130"/>
    <tableColumn id="3" xr3:uid="{355057A4-B526-4B57-A462-5AE8D7D7D54C}" name="Cell Phone Growth Rate" dataDxfId="129" totalsRowDxfId="128"/>
    <tableColumn id="4" xr3:uid="{91B204CF-B143-4B60-A334-951959354882}" name="Monthly Wireless Spend" dataDxfId="127" totalsRowDxfId="126"/>
    <tableColumn id="5" xr3:uid="{5B421027-5105-42F2-88A6-DAAA96B2EA10}" name="Monthly Wireless Spend Growth Rate" dataDxfId="125" totalsRowDxfId="124"/>
    <tableColumn id="6" xr3:uid="{81D421B7-E88A-4956-82EF-B76CCBAF5C5A}" name="Monthly Minutes of Use" dataDxfId="123" totalsRowDxfId="122"/>
    <tableColumn id="7" xr3:uid="{63F4AA56-124C-4769-B46F-F275CA37323F}" name="Monthly Minutes Growth Rate" dataDxfId="121" totalsRowDxfId="120"/>
    <tableColumn id="8" xr3:uid="{BC9FAA5D-FEC6-4835-AFB6-2B719D24CC56}" name="Average Cost/ Phone" dataDxfId="119" totalsRowDxfId="118"/>
    <tableColumn id="9" xr3:uid="{885D7EA7-3046-4D77-AE0C-91B0D20CEE30}" name="Average Savings/ Phone/ Month" dataDxfId="117" totalsRowDxfId="116" dataCellStyle="Normal 2"/>
    <tableColumn id="10" xr3:uid="{3DA7A482-690D-4D97-A191-358A9A7B7B82}" name="Monthly Savings /Phone" dataDxfId="115" totalsRowDxfId="114"/>
    <tableColumn id="11" xr3:uid="{63214815-31F1-4048-A259-AA593BC96348}" name="Monthly Savings vs. Baseline" dataDxfId="113" totalsRowDxfId="112"/>
    <tableColumn id="12" xr3:uid="{52AA8DFB-E47D-4144-8406-B041F01FC8A2}" name="Cumulative Monthly Savings" dataDxfId="111" totalsRowDxfId="110"/>
    <tableColumn id="13" xr3:uid="{EEC3EFBF-7B82-4612-8179-808D8698D259}" name="MobileManager Cost per User" dataDxfId="109" totalsRowDxfId="108"/>
    <tableColumn id="14" xr3:uid="{C0DA09B1-D3ED-4F78-863C-9EC05EA548ED}" name="Net Monthly Savings" dataDxfId="107" totalsRowDxfId="106"/>
    <tableColumn id="15" xr3:uid="{EE410B09-814E-4801-A7B4-074365DF93B8}" name="Net Cumulative Savings" dataDxfId="105" totalsRowDxfId="104"/>
    <tableColumn id="16" xr3:uid="{9A2106B5-25EE-4C48-A45B-34A8C70FC7FD}" name="Monthly Mins. of Use" dataDxfId="103" totalsRowDxfId="102"/>
    <tableColumn id="17" xr3:uid="{3515266E-6F47-4111-A89C-18F32F248C6C}" name="Cell Talk Time Growth Rate/Mo." dataDxfId="101" totalsRowDxfId="100"/>
    <tableColumn id="18" xr3:uid="{C379321F-9216-4EFE-B20E-BE2D23A3A8E9}" name="Cost Per Minute" dataDxfId="99" totalsRowDxfId="98"/>
    <tableColumn id="19" xr3:uid="{B6BFA058-CF6D-4D7D-855F-CC8E39112E51}" name="Two Way Radio Time" dataDxfId="97" totalsRowDxfId="96"/>
    <tableColumn id="20" xr3:uid="{6FD28C1D-A7FC-46D8-8634-B3166AA8F65C}" name="Plan Charge" dataDxfId="95" totalsRowDxfId="94"/>
    <tableColumn id="21" xr3:uid="{61A037F9-73B5-44F0-88D9-D169F218119D}" name="Overage Cost" dataDxfId="93" totalsRowDxfId="92"/>
    <tableColumn id="22" xr3:uid="{76EFDEB2-5C58-49A0-8A4C-534DB28A11DB}" name="Overage Time" dataDxfId="91" totalsRowDxfId="90"/>
    <tableColumn id="23" xr3:uid="{A017559C-A07A-4C2B-B167-43802E1F8228}" name="Long Distance Cost" dataDxfId="89" totalsRowDxfId="88"/>
    <tableColumn id="24" xr3:uid="{99FE978E-1FDC-4EDD-BC40-58D4356F5855}" name="Long Distance Time" totalsRowDxfId="87"/>
    <tableColumn id="25" xr3:uid="{481AE218-15A3-4BC6-9F5E-8BA33FC223C7}" name="Roaming Charge" dataDxfId="86" totalsRowDxfId="85"/>
    <tableColumn id="26" xr3:uid="{494C5DC0-7265-428D-93D4-AD1D3C80E5E3}" name="Roamng Time" totalsRowDxfId="84"/>
    <tableColumn id="27" xr3:uid="{0BEB9FB2-B63D-4B31-9C6C-1CA3700F74A9}" name="International Calling Charge" dataDxfId="83" totalsRowDxfId="82"/>
    <tableColumn id="28" xr3:uid="{95359B73-8C78-437D-A85C-B9B9C0F4F551}" name="Non Usage Cost" dataDxfId="81" totalsRowDxfId="80"/>
    <tableColumn id="29" xr3:uid="{6F6FF897-1085-4903-9416-3E33FA11A0AA}" name="Usage Cost" dataDxfId="79" totalsRowDxfId="78"/>
    <tableColumn id="30" xr3:uid="{700FA586-BC7F-47F9-AE65-1C6B899354E9}" name="12 M Usg Cost Avg" dataDxfId="77" totalsRowDxfId="76"/>
    <tableColumn id="31" xr3:uid="{6F0A5F00-0E1B-4EFE-8A3B-442893358D29}" name="Usage Cost Per Min" dataDxfId="75" totalsRowDxfId="74"/>
    <tableColumn id="32" xr3:uid="{C5AE2C9B-AF55-4984-9A41-0DC877179BD6}" name="Usg Cost 12 Mo. Avg." dataDxfId="73" totalsRowDxfId="72"/>
    <tableColumn id="33" xr3:uid="{35B9C679-27F9-4AC6-9855-AFB521FC99C9}" name="Cumulative Wireless Spend" dataDxfId="71" totalsRowDxfId="70"/>
    <tableColumn id="34" xr3:uid="{533E9B50-0E3A-4212-B4C8-39D2B457CBE2}" name="Perc Avg Savings Per Month" dataDxfId="69" totalsRowDxfId="68"/>
    <tableColumn id="35" xr3:uid="{A06E4758-E334-4494-AEFB-4B0241F1EB45}" name="Monthly Savings as % of Spend" totalsRowDxfId="6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F6F3FF-F6FB-4D46-8AB4-48144ECE74E9}" name="DataSource_1" displayName="DataSource_1" ref="B4:AJ17" totalsRowCount="1" headerRowDxfId="66" totalsRowCellStyle="Normal 2">
  <autoFilter ref="B4:AJ16" xr:uid="{F234517B-6B2E-4FF3-8246-A26055E49A2F}"/>
  <tableColumns count="35">
    <tableColumn id="1" xr3:uid="{B52AAA3D-D750-4D19-9026-F81C6E4CC857}" name="Month" dataDxfId="65" totalsRowDxfId="64"/>
    <tableColumn id="2" xr3:uid="{DA950AF6-30CD-4ACE-83FA-18D6FC4645F0}" name="No. of Devices" totalsRowDxfId="63"/>
    <tableColumn id="3" xr3:uid="{CA54C8EF-CCE6-4F75-94CF-3F2F4078F38A}" name="Cell Phone Growth Rate" dataDxfId="62" totalsRowDxfId="61"/>
    <tableColumn id="4" xr3:uid="{32F143B0-D57F-4F21-BA26-6C972043579F}" name="Monthly Wireless Spend" dataDxfId="60" totalsRowDxfId="59"/>
    <tableColumn id="5" xr3:uid="{65EB05A9-B8A4-42B2-8A4A-B45B0BFFE4FD}" name="Monthly Wireless Spend Growth Rate" dataDxfId="58" totalsRowDxfId="57"/>
    <tableColumn id="6" xr3:uid="{4BAF5D2F-6A68-45A4-A956-2C6C12BE445F}" name="Monthly Minutes of Use" dataDxfId="56" totalsRowDxfId="55"/>
    <tableColumn id="7" xr3:uid="{A53BA64E-4D78-4024-A2B2-1B7E265B9D77}" name="Monthly Minutes Growth Rate" dataDxfId="54" totalsRowDxfId="53"/>
    <tableColumn id="8" xr3:uid="{5379A894-4224-455E-87F7-271645B309D6}" name="Average Cost/ Phone" dataDxfId="52" totalsRowDxfId="51"/>
    <tableColumn id="9" xr3:uid="{876F934C-1F12-4E21-9650-30680662586C}" name="Average Savings/ Phone/ Month" dataDxfId="50" totalsRowDxfId="49" dataCellStyle="Normal 2"/>
    <tableColumn id="10" xr3:uid="{24088F1C-D585-43C7-BE93-0830B14E9B40}" name="Monthly Savings /Phone" dataDxfId="48" totalsRowDxfId="47"/>
    <tableColumn id="11" xr3:uid="{953350B4-6BEB-41F4-8721-E1415278F38F}" name="Monthly Savings vs. Baseline" dataDxfId="46" totalsRowDxfId="45"/>
    <tableColumn id="12" xr3:uid="{70DB3CDF-52E0-439A-9853-F5ACFEB4A378}" name="Cumulative Monthly Savings" dataDxfId="44" totalsRowDxfId="43"/>
    <tableColumn id="13" xr3:uid="{748D343E-EEC5-47C3-A72F-7DB0F4D9D1E6}" name="MobileManager Cost per User" dataDxfId="42" totalsRowDxfId="41"/>
    <tableColumn id="14" xr3:uid="{07240535-F169-4E2E-824A-2DB108CDEBEC}" name="Net Monthly Savings" dataDxfId="40" totalsRowDxfId="39"/>
    <tableColumn id="15" xr3:uid="{F4372FB8-E42C-4AA5-90E7-2E08B3115403}" name="Net Cumulative Savings" dataDxfId="38" totalsRowDxfId="37"/>
    <tableColumn id="16" xr3:uid="{5781C020-5EFB-41E3-B8EC-7272B1F915BD}" name="Monthly Mins. of Use" dataDxfId="36" totalsRowDxfId="35"/>
    <tableColumn id="17" xr3:uid="{B971F60B-3AA7-43F4-9DF9-C12B3F40DCFE}" name="Cell Talk Time Growth Rate/Mo." dataDxfId="34" totalsRowDxfId="33"/>
    <tableColumn id="18" xr3:uid="{ADC46607-6097-4EF1-9044-1E29EBD11F45}" name="Cost Per Minute" dataDxfId="32" totalsRowDxfId="31"/>
    <tableColumn id="19" xr3:uid="{5C230C2F-A89E-4F15-934A-7EFC76E91D21}" name="Two Way Radio Time" dataDxfId="30" totalsRowDxfId="29"/>
    <tableColumn id="20" xr3:uid="{6B229FB2-E48D-4695-88D0-09A6009BBA26}" name="Plan Charge" dataDxfId="28" totalsRowDxfId="27"/>
    <tableColumn id="21" xr3:uid="{F4CD538A-905B-4587-9F0D-83AEF78D3ABF}" name="Overage Cost" dataDxfId="26" totalsRowDxfId="25"/>
    <tableColumn id="22" xr3:uid="{5CF6CF50-E3F1-4619-9E82-37DAF079BF77}" name="Overage Time" dataDxfId="24" totalsRowDxfId="23"/>
    <tableColumn id="23" xr3:uid="{D718B1E5-9518-48D8-B69B-C6FDCA5B0CC4}" name="Long Distance Cost" dataDxfId="22" totalsRowDxfId="21"/>
    <tableColumn id="24" xr3:uid="{DA51C25F-DDBA-4B9B-B86C-0A17C57BDA7D}" name="Long Distance Time" totalsRowDxfId="20"/>
    <tableColumn id="25" xr3:uid="{206854B4-8A6B-44CC-8B86-378E76297B05}" name="Roaming Charge" dataDxfId="19" totalsRowDxfId="18"/>
    <tableColumn id="26" xr3:uid="{C30A5203-C3B5-4CDB-B426-0F86811505DF}" name="Roamng Time" totalsRowDxfId="17"/>
    <tableColumn id="27" xr3:uid="{5F5FDAAC-926E-479E-A5C8-673951C82EF6}" name="International Calling Charge" dataDxfId="16" totalsRowDxfId="15"/>
    <tableColumn id="28" xr3:uid="{F1548D33-5A5B-405E-9AC0-2959E563D75A}" name="Non Usage Cost" dataDxfId="14" totalsRowDxfId="13"/>
    <tableColumn id="29" xr3:uid="{6CAF1BBB-4D22-4C7F-B4DD-0C5D29033F6A}" name="Usage Cost" dataDxfId="12" totalsRowDxfId="11"/>
    <tableColumn id="30" xr3:uid="{A75E20B8-E3B9-479E-890E-C3C077D637F6}" name="12 M Usg Cost Avg" dataDxfId="10" totalsRowDxfId="9"/>
    <tableColumn id="31" xr3:uid="{11B39D89-723E-4B7B-9BDF-70435829F548}" name="Usage Cost Per Min" dataDxfId="8" totalsRowDxfId="7"/>
    <tableColumn id="32" xr3:uid="{A68FA62C-B676-437E-99E0-814ABBD7FD29}" name="Usg Cost 12 Mo. Avg." dataDxfId="6" totalsRowDxfId="5"/>
    <tableColumn id="33" xr3:uid="{674C4834-45BC-45DB-9BD2-40C842C8EEB1}" name="Cumulative Wireless Spend" dataDxfId="4" totalsRowDxfId="3"/>
    <tableColumn id="34" xr3:uid="{44F272D8-E646-492C-8B2B-A8C284CDBBCE}" name="Perc Avg Savings Per Month" dataDxfId="2" totalsRowDxfId="1"/>
    <tableColumn id="35" xr3:uid="{ED3EB6F1-B5B6-468A-9701-203B9564886E}" name="Monthly Savings as % of Spend" totalsRow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vmlDrawing" Target="../drawings/vmlDrawing1.v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drawing" Target="../drawings/drawing4.xml"/><Relationship Id="rId16" Type="http://schemas.openxmlformats.org/officeDocument/2006/relationships/ctrlProp" Target="../ctrlProps/ctrlProp1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E24AA-CF15-4BEE-83AA-CBFF898F5F7C}">
  <sheetPr codeName="Sheet32">
    <tabColor rgb="FFFFFF00"/>
  </sheetPr>
  <dimension ref="B1:AV45"/>
  <sheetViews>
    <sheetView zoomScale="80" zoomScaleNormal="80" workbookViewId="0"/>
  </sheetViews>
  <sheetFormatPr defaultRowHeight="12.75" x14ac:dyDescent="0.2"/>
  <cols>
    <col min="1" max="1" width="9.140625" style="4"/>
    <col min="2" max="2" width="9.85546875" style="4" customWidth="1"/>
    <col min="3" max="3" width="10.140625" style="4" customWidth="1"/>
    <col min="4" max="4" width="14.42578125" style="4" customWidth="1"/>
    <col min="5" max="5" width="11.28515625" style="4" customWidth="1"/>
    <col min="6" max="6" width="15.28515625" style="4" customWidth="1"/>
    <col min="7" max="7" width="9.42578125" style="4" customWidth="1"/>
    <col min="8" max="9" width="13.85546875" style="4" customWidth="1"/>
    <col min="10" max="10" width="14.85546875" style="4" customWidth="1"/>
    <col min="11" max="11" width="10" style="4" customWidth="1"/>
    <col min="12" max="12" width="12" style="4" customWidth="1"/>
    <col min="13" max="13" width="12.140625" style="4" customWidth="1"/>
    <col min="14" max="14" width="16.140625" style="4" customWidth="1"/>
    <col min="15" max="15" width="13.140625" style="4" customWidth="1"/>
    <col min="16" max="16" width="12.5703125" style="4" customWidth="1"/>
    <col min="17" max="17" width="14" style="4" customWidth="1"/>
    <col min="18" max="18" width="17.85546875" style="4" customWidth="1"/>
    <col min="19" max="19" width="10.5703125" style="4" customWidth="1"/>
    <col min="20" max="20" width="14.140625" style="4" customWidth="1"/>
    <col min="21" max="21" width="8.7109375" style="4" customWidth="1"/>
    <col min="22" max="22" width="10.42578125" style="4" customWidth="1"/>
    <col min="23" max="23" width="9.42578125" style="4" customWidth="1"/>
    <col min="24" max="24" width="10.42578125" style="4" customWidth="1"/>
    <col min="25" max="25" width="10.7109375" style="4" customWidth="1"/>
    <col min="26" max="26" width="10.140625" style="4" customWidth="1"/>
    <col min="27" max="27" width="9.42578125" style="4" customWidth="1"/>
    <col min="28" max="28" width="10.42578125" style="4" customWidth="1"/>
    <col min="29" max="29" width="11" style="4" customWidth="1"/>
    <col min="30" max="30" width="8" style="4" customWidth="1"/>
    <col min="31" max="31" width="11.140625" style="4" customWidth="1"/>
    <col min="32" max="32" width="11.5703125" style="4" customWidth="1"/>
    <col min="33" max="33" width="12.42578125" style="4" customWidth="1"/>
    <col min="34" max="34" width="11.85546875" style="4" customWidth="1"/>
    <col min="35" max="35" width="10.85546875" style="4" customWidth="1"/>
    <col min="36" max="36" width="16.7109375" style="4" customWidth="1"/>
    <col min="37" max="46" width="0" style="4" hidden="1" customWidth="1"/>
    <col min="47" max="47" width="19.42578125" style="4" bestFit="1" customWidth="1"/>
    <col min="48" max="48" width="14.7109375" style="4" bestFit="1" customWidth="1"/>
    <col min="49" max="16384" width="9.140625" style="4"/>
  </cols>
  <sheetData>
    <row r="1" spans="2:36" ht="25.5" x14ac:dyDescent="0.35">
      <c r="B1" s="7" t="s">
        <v>46</v>
      </c>
    </row>
    <row r="4" spans="2:36" ht="38.25" x14ac:dyDescent="0.2">
      <c r="B4" s="15" t="s">
        <v>0</v>
      </c>
      <c r="C4" s="15" t="s">
        <v>48</v>
      </c>
      <c r="D4" s="15" t="s">
        <v>1</v>
      </c>
      <c r="E4" s="16" t="s">
        <v>2</v>
      </c>
      <c r="F4" s="15" t="s">
        <v>3</v>
      </c>
      <c r="G4" s="15" t="s">
        <v>4</v>
      </c>
      <c r="H4" s="15" t="s">
        <v>5</v>
      </c>
      <c r="I4" s="15" t="s">
        <v>6</v>
      </c>
      <c r="J4" s="15" t="s">
        <v>39</v>
      </c>
      <c r="K4" s="15" t="s">
        <v>40</v>
      </c>
      <c r="L4" s="15" t="s">
        <v>42</v>
      </c>
      <c r="M4" s="15" t="s">
        <v>7</v>
      </c>
      <c r="N4" s="15" t="s">
        <v>8</v>
      </c>
      <c r="O4" s="15" t="s">
        <v>9</v>
      </c>
      <c r="P4" s="15" t="s">
        <v>10</v>
      </c>
      <c r="Q4" s="15" t="s">
        <v>11</v>
      </c>
      <c r="R4" s="15" t="s">
        <v>12</v>
      </c>
      <c r="S4" s="15" t="s">
        <v>13</v>
      </c>
      <c r="T4" s="15" t="s">
        <v>53</v>
      </c>
      <c r="U4" s="15" t="s">
        <v>43</v>
      </c>
      <c r="V4" s="15" t="s">
        <v>44</v>
      </c>
      <c r="W4" s="15" t="s">
        <v>45</v>
      </c>
      <c r="X4" s="15" t="s">
        <v>49</v>
      </c>
      <c r="Y4" s="15" t="s">
        <v>50</v>
      </c>
      <c r="Z4" s="15" t="s">
        <v>52</v>
      </c>
      <c r="AA4" s="15" t="s">
        <v>51</v>
      </c>
      <c r="AB4" s="15" t="s">
        <v>54</v>
      </c>
      <c r="AC4" s="15" t="s">
        <v>41</v>
      </c>
      <c r="AD4" s="15" t="s">
        <v>14</v>
      </c>
      <c r="AE4" s="15" t="s">
        <v>15</v>
      </c>
      <c r="AF4" s="15" t="s">
        <v>16</v>
      </c>
      <c r="AG4" s="15" t="s">
        <v>17</v>
      </c>
      <c r="AH4" s="15" t="s">
        <v>18</v>
      </c>
      <c r="AI4" s="16" t="s">
        <v>19</v>
      </c>
      <c r="AJ4" s="16" t="s">
        <v>20</v>
      </c>
    </row>
    <row r="5" spans="2:36" x14ac:dyDescent="0.2">
      <c r="B5" s="8">
        <v>44562</v>
      </c>
      <c r="C5" s="4">
        <v>0</v>
      </c>
      <c r="D5" s="9">
        <v>0</v>
      </c>
      <c r="E5" s="12">
        <v>0</v>
      </c>
      <c r="F5" s="9">
        <v>0</v>
      </c>
      <c r="G5" s="10">
        <v>0</v>
      </c>
      <c r="H5" s="9">
        <v>0</v>
      </c>
      <c r="I5" s="11">
        <v>0</v>
      </c>
      <c r="J5" s="11">
        <v>0</v>
      </c>
      <c r="K5" s="11">
        <v>0</v>
      </c>
      <c r="L5" s="12">
        <v>0</v>
      </c>
      <c r="M5" s="12">
        <v>0</v>
      </c>
      <c r="N5" s="11">
        <v>0</v>
      </c>
      <c r="O5" s="12">
        <v>0</v>
      </c>
      <c r="P5" s="12">
        <v>0</v>
      </c>
      <c r="Q5" s="10">
        <v>0</v>
      </c>
      <c r="R5" s="9">
        <v>0</v>
      </c>
      <c r="S5" s="13">
        <v>0</v>
      </c>
      <c r="T5" s="10">
        <v>0</v>
      </c>
      <c r="U5" s="12">
        <v>0</v>
      </c>
      <c r="V5" s="12">
        <v>0</v>
      </c>
      <c r="W5" s="10">
        <v>0</v>
      </c>
      <c r="X5" s="12">
        <v>0</v>
      </c>
      <c r="Y5" s="4">
        <v>0</v>
      </c>
      <c r="Z5" s="12">
        <v>0</v>
      </c>
      <c r="AA5" s="4">
        <v>0</v>
      </c>
      <c r="AB5" s="12">
        <v>0</v>
      </c>
      <c r="AC5" s="12">
        <v>0</v>
      </c>
      <c r="AD5" s="12">
        <v>0</v>
      </c>
      <c r="AE5" s="12">
        <v>0</v>
      </c>
      <c r="AF5" s="11">
        <v>0</v>
      </c>
      <c r="AG5" s="11">
        <v>0</v>
      </c>
      <c r="AH5" s="12">
        <v>0</v>
      </c>
      <c r="AI5" s="14">
        <v>0</v>
      </c>
    </row>
    <row r="6" spans="2:36" x14ac:dyDescent="0.2">
      <c r="B6" s="8">
        <v>44593</v>
      </c>
      <c r="C6" s="4">
        <v>0</v>
      </c>
      <c r="D6" s="9">
        <v>0</v>
      </c>
      <c r="E6" s="12">
        <v>0</v>
      </c>
      <c r="F6" s="9">
        <v>0</v>
      </c>
      <c r="G6" s="10">
        <v>0</v>
      </c>
      <c r="H6" s="9">
        <v>0</v>
      </c>
      <c r="I6" s="11">
        <v>0</v>
      </c>
      <c r="J6" s="11">
        <v>0</v>
      </c>
      <c r="K6" s="11">
        <v>0</v>
      </c>
      <c r="L6" s="12">
        <v>0</v>
      </c>
      <c r="M6" s="12">
        <v>0</v>
      </c>
      <c r="N6" s="11">
        <v>0</v>
      </c>
      <c r="O6" s="12">
        <v>0</v>
      </c>
      <c r="P6" s="12">
        <v>0</v>
      </c>
      <c r="Q6" s="10">
        <v>0</v>
      </c>
      <c r="R6" s="9">
        <v>0</v>
      </c>
      <c r="S6" s="13">
        <v>0</v>
      </c>
      <c r="T6" s="10">
        <v>0</v>
      </c>
      <c r="U6" s="12">
        <v>0</v>
      </c>
      <c r="V6" s="12">
        <v>0</v>
      </c>
      <c r="W6" s="10">
        <v>0</v>
      </c>
      <c r="X6" s="12">
        <v>0</v>
      </c>
      <c r="Y6" s="4">
        <v>0</v>
      </c>
      <c r="Z6" s="12">
        <v>0</v>
      </c>
      <c r="AA6" s="4">
        <v>0</v>
      </c>
      <c r="AB6" s="12">
        <v>0</v>
      </c>
      <c r="AC6" s="12">
        <v>0</v>
      </c>
      <c r="AD6" s="12">
        <v>0</v>
      </c>
      <c r="AE6" s="12">
        <v>0</v>
      </c>
      <c r="AF6" s="11">
        <v>0</v>
      </c>
      <c r="AG6" s="11">
        <v>0</v>
      </c>
      <c r="AH6" s="12">
        <v>0</v>
      </c>
      <c r="AI6" s="14">
        <v>0</v>
      </c>
    </row>
    <row r="7" spans="2:36" x14ac:dyDescent="0.2">
      <c r="B7" s="8">
        <v>44621</v>
      </c>
      <c r="C7" s="4">
        <v>0</v>
      </c>
      <c r="D7" s="9">
        <v>0</v>
      </c>
      <c r="E7" s="12">
        <v>0</v>
      </c>
      <c r="F7" s="9">
        <v>0</v>
      </c>
      <c r="G7" s="10">
        <v>0</v>
      </c>
      <c r="H7" s="9">
        <v>0</v>
      </c>
      <c r="I7" s="11">
        <v>0</v>
      </c>
      <c r="J7" s="11">
        <v>0</v>
      </c>
      <c r="K7" s="11">
        <v>0</v>
      </c>
      <c r="L7" s="12">
        <v>0</v>
      </c>
      <c r="M7" s="12">
        <v>0</v>
      </c>
      <c r="N7" s="11">
        <v>0</v>
      </c>
      <c r="O7" s="12">
        <v>0</v>
      </c>
      <c r="P7" s="12">
        <v>0</v>
      </c>
      <c r="Q7" s="10">
        <v>0</v>
      </c>
      <c r="R7" s="9">
        <v>0</v>
      </c>
      <c r="S7" s="13">
        <v>0</v>
      </c>
      <c r="T7" s="10">
        <v>0</v>
      </c>
      <c r="U7" s="12">
        <v>0</v>
      </c>
      <c r="V7" s="12">
        <v>0</v>
      </c>
      <c r="W7" s="10">
        <v>0</v>
      </c>
      <c r="X7" s="12">
        <v>0</v>
      </c>
      <c r="Y7" s="4">
        <v>0</v>
      </c>
      <c r="Z7" s="12">
        <v>0</v>
      </c>
      <c r="AA7" s="4">
        <v>0</v>
      </c>
      <c r="AB7" s="12">
        <v>0</v>
      </c>
      <c r="AC7" s="12">
        <v>0</v>
      </c>
      <c r="AD7" s="12">
        <v>0</v>
      </c>
      <c r="AE7" s="12">
        <v>0</v>
      </c>
      <c r="AF7" s="11">
        <v>0</v>
      </c>
      <c r="AG7" s="11">
        <v>0</v>
      </c>
      <c r="AH7" s="12">
        <v>0</v>
      </c>
      <c r="AI7" s="14">
        <v>0</v>
      </c>
    </row>
    <row r="8" spans="2:36" x14ac:dyDescent="0.2">
      <c r="B8" s="8">
        <v>44652</v>
      </c>
      <c r="C8" s="4">
        <v>0</v>
      </c>
      <c r="D8" s="9">
        <v>0</v>
      </c>
      <c r="E8" s="12">
        <v>0</v>
      </c>
      <c r="F8" s="9">
        <v>0</v>
      </c>
      <c r="G8" s="10">
        <v>0</v>
      </c>
      <c r="H8" s="9">
        <v>0</v>
      </c>
      <c r="I8" s="11">
        <v>0</v>
      </c>
      <c r="J8" s="11">
        <v>0</v>
      </c>
      <c r="K8" s="11">
        <v>0</v>
      </c>
      <c r="L8" s="12">
        <v>0</v>
      </c>
      <c r="M8" s="12">
        <v>0</v>
      </c>
      <c r="N8" s="11">
        <v>0</v>
      </c>
      <c r="O8" s="12">
        <v>0</v>
      </c>
      <c r="P8" s="12">
        <v>0</v>
      </c>
      <c r="Q8" s="10">
        <v>0</v>
      </c>
      <c r="R8" s="9">
        <v>0</v>
      </c>
      <c r="S8" s="13">
        <v>0</v>
      </c>
      <c r="T8" s="10">
        <v>0</v>
      </c>
      <c r="U8" s="12">
        <v>0</v>
      </c>
      <c r="V8" s="12">
        <v>0</v>
      </c>
      <c r="W8" s="10">
        <v>0</v>
      </c>
      <c r="X8" s="12">
        <v>0</v>
      </c>
      <c r="Y8" s="4">
        <v>0</v>
      </c>
      <c r="Z8" s="12">
        <v>0</v>
      </c>
      <c r="AA8" s="4">
        <v>0</v>
      </c>
      <c r="AB8" s="12">
        <v>0</v>
      </c>
      <c r="AC8" s="12">
        <v>0</v>
      </c>
      <c r="AD8" s="12">
        <v>0</v>
      </c>
      <c r="AE8" s="12">
        <v>0</v>
      </c>
      <c r="AF8" s="11">
        <v>0</v>
      </c>
      <c r="AG8" s="11">
        <v>0</v>
      </c>
      <c r="AH8" s="12">
        <v>0</v>
      </c>
      <c r="AI8" s="14">
        <v>0</v>
      </c>
    </row>
    <row r="9" spans="2:36" x14ac:dyDescent="0.2">
      <c r="B9" s="8">
        <v>44682</v>
      </c>
      <c r="C9" s="4">
        <v>0</v>
      </c>
      <c r="D9" s="9">
        <v>0</v>
      </c>
      <c r="E9" s="12">
        <v>0</v>
      </c>
      <c r="F9" s="9">
        <v>0</v>
      </c>
      <c r="G9" s="10">
        <v>0</v>
      </c>
      <c r="H9" s="9">
        <v>0</v>
      </c>
      <c r="I9" s="11">
        <v>0</v>
      </c>
      <c r="J9" s="11">
        <v>0</v>
      </c>
      <c r="K9" s="11">
        <v>0</v>
      </c>
      <c r="L9" s="12">
        <v>0</v>
      </c>
      <c r="M9" s="12">
        <v>0</v>
      </c>
      <c r="N9" s="11">
        <v>0</v>
      </c>
      <c r="O9" s="12">
        <v>0</v>
      </c>
      <c r="P9" s="12">
        <v>0</v>
      </c>
      <c r="Q9" s="10">
        <v>0</v>
      </c>
      <c r="R9" s="9">
        <v>0</v>
      </c>
      <c r="S9" s="13">
        <v>0</v>
      </c>
      <c r="T9" s="10">
        <v>0</v>
      </c>
      <c r="U9" s="12">
        <v>0</v>
      </c>
      <c r="V9" s="12">
        <v>0</v>
      </c>
      <c r="W9" s="10">
        <v>0</v>
      </c>
      <c r="X9" s="12">
        <v>0</v>
      </c>
      <c r="Y9" s="4">
        <v>0</v>
      </c>
      <c r="Z9" s="12">
        <v>0</v>
      </c>
      <c r="AA9" s="4">
        <v>0</v>
      </c>
      <c r="AB9" s="12">
        <v>0</v>
      </c>
      <c r="AC9" s="12">
        <v>0</v>
      </c>
      <c r="AD9" s="12">
        <v>0</v>
      </c>
      <c r="AE9" s="12">
        <v>0</v>
      </c>
      <c r="AF9" s="11">
        <v>0</v>
      </c>
      <c r="AG9" s="11">
        <v>0</v>
      </c>
      <c r="AH9" s="12">
        <v>0</v>
      </c>
      <c r="AI9" s="14">
        <v>0</v>
      </c>
    </row>
    <row r="10" spans="2:36" x14ac:dyDescent="0.2">
      <c r="B10" s="8">
        <v>44713</v>
      </c>
      <c r="C10" s="4">
        <v>0</v>
      </c>
      <c r="D10" s="9">
        <v>0</v>
      </c>
      <c r="E10" s="12">
        <v>0</v>
      </c>
      <c r="F10" s="9">
        <v>0</v>
      </c>
      <c r="G10" s="10">
        <v>0</v>
      </c>
      <c r="H10" s="9">
        <v>0</v>
      </c>
      <c r="I10" s="11">
        <v>0</v>
      </c>
      <c r="J10" s="11">
        <v>0</v>
      </c>
      <c r="K10" s="11">
        <v>0</v>
      </c>
      <c r="L10" s="12">
        <v>0</v>
      </c>
      <c r="M10" s="12">
        <v>0</v>
      </c>
      <c r="N10" s="11">
        <v>0</v>
      </c>
      <c r="O10" s="12">
        <v>0</v>
      </c>
      <c r="P10" s="12">
        <v>0</v>
      </c>
      <c r="Q10" s="10">
        <v>0</v>
      </c>
      <c r="R10" s="9">
        <v>0</v>
      </c>
      <c r="S10" s="13">
        <v>0</v>
      </c>
      <c r="T10" s="10">
        <v>0</v>
      </c>
      <c r="U10" s="12">
        <v>0</v>
      </c>
      <c r="V10" s="12">
        <v>0</v>
      </c>
      <c r="W10" s="10">
        <v>0</v>
      </c>
      <c r="X10" s="12">
        <v>0</v>
      </c>
      <c r="Y10" s="4">
        <v>0</v>
      </c>
      <c r="Z10" s="12">
        <v>0</v>
      </c>
      <c r="AA10" s="4">
        <v>0</v>
      </c>
      <c r="AB10" s="12">
        <v>0</v>
      </c>
      <c r="AC10" s="12">
        <v>0</v>
      </c>
      <c r="AD10" s="12">
        <v>0</v>
      </c>
      <c r="AE10" s="12">
        <v>0</v>
      </c>
      <c r="AF10" s="11">
        <v>0</v>
      </c>
      <c r="AG10" s="11">
        <v>0</v>
      </c>
      <c r="AH10" s="12">
        <v>0</v>
      </c>
      <c r="AI10" s="14">
        <v>0</v>
      </c>
    </row>
    <row r="11" spans="2:36" x14ac:dyDescent="0.2">
      <c r="B11" s="8">
        <v>44743</v>
      </c>
      <c r="C11" s="4">
        <v>0</v>
      </c>
      <c r="D11" s="9">
        <v>0</v>
      </c>
      <c r="E11" s="12">
        <v>0</v>
      </c>
      <c r="F11" s="9">
        <v>0</v>
      </c>
      <c r="G11" s="10">
        <v>0</v>
      </c>
      <c r="H11" s="9">
        <v>0</v>
      </c>
      <c r="I11" s="11">
        <v>0</v>
      </c>
      <c r="J11" s="11">
        <v>0</v>
      </c>
      <c r="K11" s="11">
        <v>0</v>
      </c>
      <c r="L11" s="12">
        <v>0</v>
      </c>
      <c r="M11" s="12">
        <v>0</v>
      </c>
      <c r="N11" s="11">
        <v>0</v>
      </c>
      <c r="O11" s="12">
        <v>0</v>
      </c>
      <c r="P11" s="12">
        <v>0</v>
      </c>
      <c r="Q11" s="10">
        <v>0</v>
      </c>
      <c r="R11" s="9">
        <v>0</v>
      </c>
      <c r="S11" s="13">
        <v>0</v>
      </c>
      <c r="T11" s="10">
        <v>0</v>
      </c>
      <c r="U11" s="12">
        <v>0</v>
      </c>
      <c r="V11" s="12">
        <v>0</v>
      </c>
      <c r="W11" s="10">
        <v>0</v>
      </c>
      <c r="X11" s="12">
        <v>0</v>
      </c>
      <c r="Y11" s="4">
        <v>0</v>
      </c>
      <c r="Z11" s="12">
        <v>0</v>
      </c>
      <c r="AA11" s="4">
        <v>0</v>
      </c>
      <c r="AB11" s="12">
        <v>0</v>
      </c>
      <c r="AC11" s="12">
        <v>0</v>
      </c>
      <c r="AD11" s="12">
        <v>0</v>
      </c>
      <c r="AE11" s="12">
        <v>0</v>
      </c>
      <c r="AF11" s="11">
        <v>0</v>
      </c>
      <c r="AG11" s="11">
        <v>0</v>
      </c>
      <c r="AH11" s="12">
        <v>0</v>
      </c>
      <c r="AI11" s="14">
        <v>0</v>
      </c>
    </row>
    <row r="12" spans="2:36" x14ac:dyDescent="0.2">
      <c r="B12" s="8">
        <v>44774</v>
      </c>
      <c r="C12" s="4">
        <v>0</v>
      </c>
      <c r="D12" s="9">
        <v>0</v>
      </c>
      <c r="E12" s="12">
        <v>0</v>
      </c>
      <c r="F12" s="9">
        <v>0</v>
      </c>
      <c r="G12" s="10">
        <v>0</v>
      </c>
      <c r="H12" s="9">
        <v>0</v>
      </c>
      <c r="I12" s="11">
        <v>0</v>
      </c>
      <c r="J12" s="11">
        <v>0</v>
      </c>
      <c r="K12" s="11">
        <v>0</v>
      </c>
      <c r="L12" s="12">
        <v>0</v>
      </c>
      <c r="M12" s="12">
        <v>0</v>
      </c>
      <c r="N12" s="11">
        <v>0</v>
      </c>
      <c r="O12" s="12">
        <v>0</v>
      </c>
      <c r="P12" s="12">
        <v>0</v>
      </c>
      <c r="Q12" s="10">
        <v>0</v>
      </c>
      <c r="R12" s="9">
        <v>0</v>
      </c>
      <c r="S12" s="13">
        <v>0</v>
      </c>
      <c r="T12" s="10">
        <v>0</v>
      </c>
      <c r="U12" s="12">
        <v>0</v>
      </c>
      <c r="V12" s="12">
        <v>0</v>
      </c>
      <c r="W12" s="10">
        <v>0</v>
      </c>
      <c r="X12" s="12">
        <v>0</v>
      </c>
      <c r="Y12" s="4">
        <v>0</v>
      </c>
      <c r="Z12" s="12">
        <v>0</v>
      </c>
      <c r="AA12" s="4">
        <v>0</v>
      </c>
      <c r="AB12" s="12">
        <v>0</v>
      </c>
      <c r="AC12" s="12">
        <v>0</v>
      </c>
      <c r="AD12" s="12">
        <v>0</v>
      </c>
      <c r="AE12" s="12">
        <v>0</v>
      </c>
      <c r="AF12" s="11">
        <v>0</v>
      </c>
      <c r="AG12" s="11">
        <v>0</v>
      </c>
      <c r="AH12" s="12">
        <v>0</v>
      </c>
      <c r="AI12" s="14">
        <v>0</v>
      </c>
    </row>
    <row r="13" spans="2:36" x14ac:dyDescent="0.2">
      <c r="B13" s="8">
        <v>44805</v>
      </c>
      <c r="C13" s="4">
        <v>0</v>
      </c>
      <c r="D13" s="9">
        <v>0</v>
      </c>
      <c r="E13" s="12">
        <v>0</v>
      </c>
      <c r="F13" s="9">
        <v>0</v>
      </c>
      <c r="G13" s="10">
        <v>0</v>
      </c>
      <c r="H13" s="9">
        <v>0</v>
      </c>
      <c r="I13" s="11">
        <v>0</v>
      </c>
      <c r="J13" s="11">
        <v>0</v>
      </c>
      <c r="K13" s="11">
        <v>0</v>
      </c>
      <c r="L13" s="12">
        <v>0</v>
      </c>
      <c r="M13" s="12">
        <v>0</v>
      </c>
      <c r="N13" s="11">
        <v>0</v>
      </c>
      <c r="O13" s="12">
        <v>0</v>
      </c>
      <c r="P13" s="12">
        <v>0</v>
      </c>
      <c r="Q13" s="10">
        <v>0</v>
      </c>
      <c r="R13" s="9">
        <v>0</v>
      </c>
      <c r="S13" s="13">
        <v>0</v>
      </c>
      <c r="T13" s="10">
        <v>0</v>
      </c>
      <c r="U13" s="12">
        <v>0</v>
      </c>
      <c r="V13" s="12">
        <v>0</v>
      </c>
      <c r="W13" s="10">
        <v>0</v>
      </c>
      <c r="X13" s="12">
        <v>0</v>
      </c>
      <c r="Y13" s="4">
        <v>0</v>
      </c>
      <c r="Z13" s="12">
        <v>0</v>
      </c>
      <c r="AA13" s="4">
        <v>0</v>
      </c>
      <c r="AB13" s="12">
        <v>0</v>
      </c>
      <c r="AC13" s="12">
        <v>0</v>
      </c>
      <c r="AD13" s="12">
        <v>0</v>
      </c>
      <c r="AE13" s="12">
        <v>0</v>
      </c>
      <c r="AF13" s="11">
        <v>0</v>
      </c>
      <c r="AG13" s="11">
        <v>0</v>
      </c>
      <c r="AH13" s="12">
        <v>0</v>
      </c>
      <c r="AI13" s="14">
        <v>0</v>
      </c>
    </row>
    <row r="14" spans="2:36" x14ac:dyDescent="0.2">
      <c r="B14" s="8">
        <v>44835</v>
      </c>
      <c r="C14" s="4">
        <v>0</v>
      </c>
      <c r="D14" s="9">
        <v>0</v>
      </c>
      <c r="E14" s="12">
        <v>0</v>
      </c>
      <c r="F14" s="9">
        <v>0</v>
      </c>
      <c r="G14" s="10">
        <v>0</v>
      </c>
      <c r="H14" s="9">
        <v>0</v>
      </c>
      <c r="I14" s="11">
        <v>0</v>
      </c>
      <c r="J14" s="11">
        <v>0</v>
      </c>
      <c r="K14" s="11">
        <v>0</v>
      </c>
      <c r="L14" s="12">
        <v>0</v>
      </c>
      <c r="M14" s="12">
        <v>0</v>
      </c>
      <c r="N14" s="11">
        <v>0</v>
      </c>
      <c r="O14" s="12">
        <v>0</v>
      </c>
      <c r="P14" s="12">
        <v>0</v>
      </c>
      <c r="Q14" s="10">
        <v>0</v>
      </c>
      <c r="R14" s="9">
        <v>0</v>
      </c>
      <c r="S14" s="13">
        <v>0</v>
      </c>
      <c r="T14" s="10">
        <v>0</v>
      </c>
      <c r="U14" s="12">
        <v>0</v>
      </c>
      <c r="V14" s="12">
        <v>0</v>
      </c>
      <c r="W14" s="10">
        <v>0</v>
      </c>
      <c r="X14" s="12">
        <v>0</v>
      </c>
      <c r="Y14" s="4">
        <v>0</v>
      </c>
      <c r="Z14" s="12">
        <v>0</v>
      </c>
      <c r="AA14" s="4">
        <v>0</v>
      </c>
      <c r="AB14" s="12">
        <v>0</v>
      </c>
      <c r="AC14" s="12">
        <v>0</v>
      </c>
      <c r="AD14" s="12">
        <v>0</v>
      </c>
      <c r="AE14" s="12">
        <v>0</v>
      </c>
      <c r="AF14" s="11">
        <v>0</v>
      </c>
      <c r="AG14" s="11">
        <v>0</v>
      </c>
      <c r="AH14" s="12">
        <v>0</v>
      </c>
      <c r="AI14" s="14">
        <v>0</v>
      </c>
    </row>
    <row r="15" spans="2:36" x14ac:dyDescent="0.2">
      <c r="B15" s="8">
        <v>44866</v>
      </c>
      <c r="C15" s="4">
        <v>0</v>
      </c>
      <c r="D15" s="9">
        <v>0</v>
      </c>
      <c r="E15" s="12">
        <v>0</v>
      </c>
      <c r="F15" s="9">
        <v>0</v>
      </c>
      <c r="G15" s="10">
        <v>0</v>
      </c>
      <c r="H15" s="9">
        <v>0</v>
      </c>
      <c r="I15" s="11">
        <v>0</v>
      </c>
      <c r="J15" s="11">
        <v>0</v>
      </c>
      <c r="K15" s="11">
        <v>0</v>
      </c>
      <c r="L15" s="12">
        <v>0</v>
      </c>
      <c r="M15" s="12">
        <v>0</v>
      </c>
      <c r="N15" s="11">
        <v>0</v>
      </c>
      <c r="O15" s="12">
        <v>0</v>
      </c>
      <c r="P15" s="12">
        <v>0</v>
      </c>
      <c r="Q15" s="10">
        <v>0</v>
      </c>
      <c r="R15" s="9">
        <v>0</v>
      </c>
      <c r="S15" s="13">
        <v>0</v>
      </c>
      <c r="T15" s="10">
        <v>0</v>
      </c>
      <c r="U15" s="12">
        <v>0</v>
      </c>
      <c r="V15" s="12">
        <v>0</v>
      </c>
      <c r="W15" s="10">
        <v>0</v>
      </c>
      <c r="X15" s="12">
        <v>0</v>
      </c>
      <c r="Y15" s="4">
        <v>0</v>
      </c>
      <c r="Z15" s="12">
        <v>0</v>
      </c>
      <c r="AA15" s="4">
        <v>0</v>
      </c>
      <c r="AB15" s="12">
        <v>0</v>
      </c>
      <c r="AC15" s="12">
        <v>0</v>
      </c>
      <c r="AD15" s="12">
        <v>0</v>
      </c>
      <c r="AE15" s="12">
        <v>0</v>
      </c>
      <c r="AF15" s="11">
        <v>0</v>
      </c>
      <c r="AG15" s="11">
        <v>0</v>
      </c>
      <c r="AH15" s="12">
        <v>0</v>
      </c>
      <c r="AI15" s="14">
        <v>0</v>
      </c>
    </row>
    <row r="16" spans="2:36" x14ac:dyDescent="0.2">
      <c r="B16" s="8">
        <v>44896</v>
      </c>
      <c r="C16" s="4">
        <v>0</v>
      </c>
      <c r="D16" s="9">
        <v>0</v>
      </c>
      <c r="E16" s="12">
        <v>0</v>
      </c>
      <c r="F16" s="9">
        <v>0</v>
      </c>
      <c r="G16" s="10">
        <v>0</v>
      </c>
      <c r="H16" s="9">
        <v>0</v>
      </c>
      <c r="I16" s="11">
        <v>0</v>
      </c>
      <c r="J16" s="11">
        <v>0</v>
      </c>
      <c r="K16" s="11">
        <v>0</v>
      </c>
      <c r="L16" s="12">
        <v>0</v>
      </c>
      <c r="M16" s="12">
        <v>0</v>
      </c>
      <c r="N16" s="11">
        <v>0</v>
      </c>
      <c r="O16" s="12">
        <v>0</v>
      </c>
      <c r="P16" s="12">
        <v>0</v>
      </c>
      <c r="Q16" s="10">
        <v>0</v>
      </c>
      <c r="R16" s="9">
        <v>0</v>
      </c>
      <c r="S16" s="13">
        <v>0</v>
      </c>
      <c r="T16" s="10">
        <v>0</v>
      </c>
      <c r="U16" s="12">
        <v>0</v>
      </c>
      <c r="V16" s="12">
        <v>0</v>
      </c>
      <c r="W16" s="10">
        <v>0</v>
      </c>
      <c r="X16" s="12">
        <v>0</v>
      </c>
      <c r="Y16" s="4">
        <v>0</v>
      </c>
      <c r="Z16" s="12">
        <v>0</v>
      </c>
      <c r="AA16" s="4">
        <v>0</v>
      </c>
      <c r="AB16" s="12">
        <v>0</v>
      </c>
      <c r="AC16" s="12">
        <v>0</v>
      </c>
      <c r="AD16" s="12">
        <v>0</v>
      </c>
      <c r="AE16" s="12">
        <v>0</v>
      </c>
      <c r="AF16" s="11">
        <v>0</v>
      </c>
      <c r="AG16" s="11">
        <v>0</v>
      </c>
      <c r="AH16" s="12">
        <v>0</v>
      </c>
      <c r="AI16" s="14">
        <v>0</v>
      </c>
    </row>
    <row r="17" spans="2:48" x14ac:dyDescent="0.2">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row>
    <row r="18" spans="2:48" ht="25.5" x14ac:dyDescent="0.2">
      <c r="D18" s="17" t="s">
        <v>47</v>
      </c>
    </row>
    <row r="22" spans="2:48" ht="15" x14ac:dyDescent="0.25">
      <c r="B22"/>
      <c r="C22"/>
    </row>
    <row r="23" spans="2:48" ht="15" x14ac:dyDescent="0.25">
      <c r="B23"/>
      <c r="C23"/>
    </row>
    <row r="24" spans="2:48" ht="15" x14ac:dyDescent="0.25">
      <c r="B24"/>
      <c r="C24"/>
    </row>
    <row r="25" spans="2:48" ht="15" x14ac:dyDescent="0.25">
      <c r="B25"/>
      <c r="C25"/>
    </row>
    <row r="26" spans="2:48" ht="15" x14ac:dyDescent="0.25">
      <c r="B26"/>
      <c r="C26"/>
    </row>
    <row r="27" spans="2:48" ht="15" x14ac:dyDescent="0.25">
      <c r="B27"/>
      <c r="C27"/>
    </row>
    <row r="28" spans="2:48" ht="15" x14ac:dyDescent="0.25">
      <c r="B28"/>
      <c r="C28"/>
    </row>
    <row r="29" spans="2:48" ht="15" x14ac:dyDescent="0.25">
      <c r="B29"/>
      <c r="C29"/>
      <c r="AU29" s="2"/>
      <c r="AV29" s="2" t="s">
        <v>22</v>
      </c>
    </row>
    <row r="30" spans="2:48" ht="15" x14ac:dyDescent="0.25">
      <c r="B30"/>
      <c r="C30"/>
      <c r="AU30" s="3" t="s">
        <v>23</v>
      </c>
      <c r="AV30" s="3" t="s">
        <v>24</v>
      </c>
    </row>
    <row r="31" spans="2:48" ht="15" x14ac:dyDescent="0.25">
      <c r="B31"/>
      <c r="C31"/>
      <c r="AU31" s="4" t="s">
        <v>25</v>
      </c>
      <c r="AV31" s="4">
        <v>166</v>
      </c>
    </row>
    <row r="32" spans="2:48" ht="15" x14ac:dyDescent="0.25">
      <c r="B32"/>
      <c r="C32"/>
      <c r="AU32" s="4" t="s">
        <v>26</v>
      </c>
      <c r="AV32" s="4">
        <v>45</v>
      </c>
    </row>
    <row r="33" spans="2:48" ht="15" x14ac:dyDescent="0.25">
      <c r="B33"/>
      <c r="C33"/>
      <c r="AU33" s="4" t="s">
        <v>27</v>
      </c>
      <c r="AV33" s="4">
        <v>23</v>
      </c>
    </row>
    <row r="34" spans="2:48" x14ac:dyDescent="0.2">
      <c r="AU34" s="4" t="s">
        <v>28</v>
      </c>
      <c r="AV34" s="4">
        <v>19</v>
      </c>
    </row>
    <row r="35" spans="2:48" x14ac:dyDescent="0.2">
      <c r="AU35" s="4" t="s">
        <v>29</v>
      </c>
      <c r="AV35" s="4">
        <v>32</v>
      </c>
    </row>
    <row r="36" spans="2:48" x14ac:dyDescent="0.2">
      <c r="AU36" s="4" t="s">
        <v>30</v>
      </c>
      <c r="AV36" s="4">
        <v>21</v>
      </c>
    </row>
    <row r="37" spans="2:48" x14ac:dyDescent="0.2">
      <c r="AU37" s="4" t="s">
        <v>31</v>
      </c>
      <c r="AV37" s="4">
        <v>32</v>
      </c>
    </row>
    <row r="38" spans="2:48" x14ac:dyDescent="0.2">
      <c r="AU38" s="4" t="s">
        <v>32</v>
      </c>
      <c r="AV38" s="4">
        <v>24</v>
      </c>
    </row>
    <row r="39" spans="2:48" x14ac:dyDescent="0.2">
      <c r="AU39" s="5" t="s">
        <v>33</v>
      </c>
      <c r="AV39" s="4">
        <v>117</v>
      </c>
    </row>
    <row r="40" spans="2:48" x14ac:dyDescent="0.2">
      <c r="AU40" s="4" t="s">
        <v>34</v>
      </c>
      <c r="AV40" s="4">
        <f>SUM(AV31:AV39)</f>
        <v>479</v>
      </c>
    </row>
    <row r="41" spans="2:48" x14ac:dyDescent="0.2">
      <c r="AU41" s="4" t="s">
        <v>35</v>
      </c>
      <c r="AV41" s="6" t="s">
        <v>36</v>
      </c>
    </row>
    <row r="42" spans="2:48" x14ac:dyDescent="0.2">
      <c r="AU42" s="5" t="s">
        <v>33</v>
      </c>
      <c r="AV42" s="4">
        <v>117</v>
      </c>
    </row>
    <row r="43" spans="2:48" x14ac:dyDescent="0.2">
      <c r="AU43" s="4" t="s">
        <v>37</v>
      </c>
      <c r="AV43" s="4">
        <v>211</v>
      </c>
    </row>
    <row r="44" spans="2:48" x14ac:dyDescent="0.2">
      <c r="AU44" s="4" t="s">
        <v>38</v>
      </c>
      <c r="AV44" s="4">
        <v>127</v>
      </c>
    </row>
    <row r="45" spans="2:48" x14ac:dyDescent="0.2">
      <c r="AU45" s="4" t="s">
        <v>32</v>
      </c>
      <c r="AV45" s="4">
        <v>24</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B30D9B-AFCD-4EF4-8D1E-C9263ACD27DF}">
  <sheetPr codeName="Sheet31">
    <tabColor rgb="FFFFFF00"/>
  </sheetPr>
  <dimension ref="B1:AV45"/>
  <sheetViews>
    <sheetView zoomScale="80" zoomScaleNormal="80" workbookViewId="0"/>
  </sheetViews>
  <sheetFormatPr defaultRowHeight="12.75" x14ac:dyDescent="0.2"/>
  <cols>
    <col min="1" max="1" width="9.140625" style="4"/>
    <col min="2" max="2" width="9.85546875" style="4" customWidth="1"/>
    <col min="3" max="3" width="10.140625" style="4" customWidth="1"/>
    <col min="4" max="4" width="14.42578125" style="4" customWidth="1"/>
    <col min="5" max="5" width="13.42578125" style="4" bestFit="1" customWidth="1"/>
    <col min="6" max="6" width="15.28515625" style="4" customWidth="1"/>
    <col min="7" max="7" width="13.42578125" style="4" bestFit="1" customWidth="1"/>
    <col min="8" max="9" width="13.85546875" style="4" customWidth="1"/>
    <col min="10" max="10" width="14.85546875" style="4" customWidth="1"/>
    <col min="11" max="11" width="10" style="4" customWidth="1"/>
    <col min="12" max="12" width="12" style="4" customWidth="1"/>
    <col min="13" max="13" width="15.42578125" style="4" bestFit="1" customWidth="1"/>
    <col min="14" max="14" width="19.140625" style="4" bestFit="1" customWidth="1"/>
    <col min="15" max="15" width="13.140625" style="4" customWidth="1"/>
    <col min="16" max="16" width="15.42578125" style="4" bestFit="1" customWidth="1"/>
    <col min="17" max="17" width="14" style="4" customWidth="1"/>
    <col min="18" max="18" width="17.85546875" style="4" customWidth="1"/>
    <col min="19" max="19" width="10.5703125" style="4" customWidth="1"/>
    <col min="20" max="20" width="14.140625" style="4" customWidth="1"/>
    <col min="21" max="21" width="8.7109375" style="4" customWidth="1"/>
    <col min="22" max="22" width="10.42578125" style="4" customWidth="1"/>
    <col min="23" max="23" width="9.42578125" style="4" customWidth="1"/>
    <col min="24" max="24" width="10.42578125" style="4" customWidth="1"/>
    <col min="25" max="25" width="10.7109375" style="4" customWidth="1"/>
    <col min="26" max="26" width="13" style="4" bestFit="1" customWidth="1"/>
    <col min="27" max="27" width="12.42578125" style="4" bestFit="1" customWidth="1"/>
    <col min="28" max="28" width="15.85546875" style="4" bestFit="1" customWidth="1"/>
    <col min="29" max="29" width="11" style="4" customWidth="1"/>
    <col min="30" max="30" width="8" style="4" customWidth="1"/>
    <col min="31" max="31" width="11.140625" style="4" customWidth="1"/>
    <col min="32" max="32" width="11.5703125" style="4" customWidth="1"/>
    <col min="33" max="33" width="12.42578125" style="4" customWidth="1"/>
    <col min="34" max="34" width="15.7109375" style="4" bestFit="1" customWidth="1"/>
    <col min="35" max="35" width="10.85546875" style="4" customWidth="1"/>
    <col min="36" max="36" width="16.7109375" style="4" customWidth="1"/>
    <col min="37" max="46" width="0" style="4" hidden="1" customWidth="1"/>
    <col min="47" max="47" width="19.42578125" style="4" bestFit="1" customWidth="1"/>
    <col min="48" max="48" width="14.7109375" style="4" bestFit="1" customWidth="1"/>
    <col min="49" max="16384" width="9.140625" style="4"/>
  </cols>
  <sheetData>
    <row r="1" spans="2:36" ht="25.5" x14ac:dyDescent="0.35">
      <c r="B1" s="7" t="s">
        <v>46</v>
      </c>
    </row>
    <row r="4" spans="2:36" ht="38.25" x14ac:dyDescent="0.2">
      <c r="B4" s="15" t="s">
        <v>0</v>
      </c>
      <c r="C4" s="15" t="s">
        <v>48</v>
      </c>
      <c r="D4" s="15" t="s">
        <v>1</v>
      </c>
      <c r="E4" s="16" t="s">
        <v>2</v>
      </c>
      <c r="F4" s="15" t="s">
        <v>3</v>
      </c>
      <c r="G4" s="15" t="s">
        <v>4</v>
      </c>
      <c r="H4" s="15" t="s">
        <v>5</v>
      </c>
      <c r="I4" s="15" t="s">
        <v>6</v>
      </c>
      <c r="J4" s="15" t="s">
        <v>39</v>
      </c>
      <c r="K4" s="15" t="s">
        <v>40</v>
      </c>
      <c r="L4" s="15" t="s">
        <v>42</v>
      </c>
      <c r="M4" s="15" t="s">
        <v>7</v>
      </c>
      <c r="N4" s="15" t="s">
        <v>8</v>
      </c>
      <c r="O4" s="15" t="s">
        <v>9</v>
      </c>
      <c r="P4" s="15" t="s">
        <v>10</v>
      </c>
      <c r="Q4" s="15" t="s">
        <v>11</v>
      </c>
      <c r="R4" s="15" t="s">
        <v>12</v>
      </c>
      <c r="S4" s="15" t="s">
        <v>13</v>
      </c>
      <c r="T4" s="15" t="s">
        <v>53</v>
      </c>
      <c r="U4" s="15" t="s">
        <v>43</v>
      </c>
      <c r="V4" s="15" t="s">
        <v>44</v>
      </c>
      <c r="W4" s="15" t="s">
        <v>45</v>
      </c>
      <c r="X4" s="15" t="s">
        <v>49</v>
      </c>
      <c r="Y4" s="15" t="s">
        <v>50</v>
      </c>
      <c r="Z4" s="15" t="s">
        <v>52</v>
      </c>
      <c r="AA4" s="15" t="s">
        <v>51</v>
      </c>
      <c r="AB4" s="15" t="s">
        <v>54</v>
      </c>
      <c r="AC4" s="15" t="s">
        <v>41</v>
      </c>
      <c r="AD4" s="15" t="s">
        <v>14</v>
      </c>
      <c r="AE4" s="15" t="s">
        <v>15</v>
      </c>
      <c r="AF4" s="15" t="s">
        <v>16</v>
      </c>
      <c r="AG4" s="15" t="s">
        <v>17</v>
      </c>
      <c r="AH4" s="15" t="s">
        <v>18</v>
      </c>
      <c r="AI4" s="16" t="s">
        <v>19</v>
      </c>
      <c r="AJ4" s="16" t="s">
        <v>20</v>
      </c>
    </row>
    <row r="5" spans="2:36" x14ac:dyDescent="0.2">
      <c r="B5" s="8">
        <v>44562</v>
      </c>
      <c r="C5" s="4">
        <v>433</v>
      </c>
      <c r="D5" s="9">
        <v>0</v>
      </c>
      <c r="E5" s="12">
        <v>47592.65</v>
      </c>
      <c r="F5" s="9">
        <v>0</v>
      </c>
      <c r="G5" s="10">
        <v>175781.09999999998</v>
      </c>
      <c r="H5" s="9">
        <v>0</v>
      </c>
      <c r="I5" s="11">
        <v>109.91374133949192</v>
      </c>
      <c r="J5" s="11" t="s">
        <v>21</v>
      </c>
      <c r="K5" s="11" t="s">
        <v>21</v>
      </c>
      <c r="L5" s="12">
        <v>0</v>
      </c>
      <c r="M5" s="12">
        <v>0</v>
      </c>
      <c r="N5" s="11">
        <v>2056.75</v>
      </c>
      <c r="O5" s="12">
        <v>-2056.75</v>
      </c>
      <c r="P5" s="12">
        <v>-2056.75</v>
      </c>
      <c r="Q5" s="10">
        <v>175781.09999999998</v>
      </c>
      <c r="R5" s="9">
        <v>0</v>
      </c>
      <c r="S5" s="13">
        <v>0.27074952881737574</v>
      </c>
      <c r="T5" s="10">
        <v>119388.20000000001</v>
      </c>
      <c r="U5" s="12">
        <v>23065.81</v>
      </c>
      <c r="V5" s="12">
        <v>16511.370000000003</v>
      </c>
      <c r="W5" s="10">
        <v>80992.900000000009</v>
      </c>
      <c r="X5" s="12">
        <v>206.82</v>
      </c>
      <c r="Y5" s="4">
        <v>3323.5</v>
      </c>
      <c r="Z5" s="12">
        <v>43.69</v>
      </c>
      <c r="AA5" s="4">
        <v>51</v>
      </c>
      <c r="AB5" s="12">
        <v>160.38</v>
      </c>
      <c r="AC5" s="12">
        <v>23065.81</v>
      </c>
      <c r="AD5" s="12">
        <v>24526.84</v>
      </c>
      <c r="AE5" s="12">
        <v>11792.212500000001</v>
      </c>
      <c r="AF5" s="11">
        <v>0.27074952881737574</v>
      </c>
      <c r="AG5" s="11">
        <v>0.17734825166169074</v>
      </c>
      <c r="AH5" s="12">
        <v>47592.65</v>
      </c>
      <c r="AI5" s="14">
        <v>5.5089763823468363E-2</v>
      </c>
    </row>
    <row r="6" spans="2:36" x14ac:dyDescent="0.2">
      <c r="B6" s="8">
        <v>44593</v>
      </c>
      <c r="C6" s="4">
        <v>453</v>
      </c>
      <c r="D6" s="9">
        <v>4.6189376443418015E-2</v>
      </c>
      <c r="E6" s="12">
        <v>55504.799999999996</v>
      </c>
      <c r="F6" s="9">
        <v>0.14254893270491911</v>
      </c>
      <c r="G6" s="10">
        <v>193710.6</v>
      </c>
      <c r="H6" s="9">
        <v>9.2558176991863264E-2</v>
      </c>
      <c r="I6" s="11">
        <v>122.52715231788079</v>
      </c>
      <c r="J6" s="11" t="s">
        <v>21</v>
      </c>
      <c r="K6" s="11" t="s">
        <v>21</v>
      </c>
      <c r="L6" s="12">
        <v>0</v>
      </c>
      <c r="M6" s="12">
        <v>0</v>
      </c>
      <c r="N6" s="11">
        <v>2151.75</v>
      </c>
      <c r="O6" s="12">
        <v>-2151.75</v>
      </c>
      <c r="P6" s="12">
        <v>-4208.5</v>
      </c>
      <c r="Q6" s="10">
        <v>193710.6</v>
      </c>
      <c r="R6" s="9">
        <v>9.2558176991863264E-2</v>
      </c>
      <c r="S6" s="13">
        <v>0.28653465530538852</v>
      </c>
      <c r="T6" s="10">
        <v>120889.1</v>
      </c>
      <c r="U6" s="12">
        <v>24400.789999999997</v>
      </c>
      <c r="V6" s="12">
        <v>21731.660000000003</v>
      </c>
      <c r="W6" s="10">
        <v>99193.599999999991</v>
      </c>
      <c r="X6" s="12">
        <v>248.88</v>
      </c>
      <c r="Y6" s="4">
        <v>2166.6000000000004</v>
      </c>
      <c r="Z6" s="12">
        <v>129.79</v>
      </c>
      <c r="AA6" s="4">
        <v>151</v>
      </c>
      <c r="AB6" s="12">
        <v>431.65999999999997</v>
      </c>
      <c r="AC6" s="12">
        <v>24400.789999999997</v>
      </c>
      <c r="AD6" s="12">
        <v>31104.01</v>
      </c>
      <c r="AE6" s="12">
        <v>11792.212500000001</v>
      </c>
      <c r="AF6" s="11">
        <v>0.28653465530538852</v>
      </c>
      <c r="AG6" s="11">
        <v>0.17734825166169074</v>
      </c>
      <c r="AH6" s="12">
        <v>103097.45</v>
      </c>
      <c r="AI6" s="14">
        <v>0</v>
      </c>
    </row>
    <row r="7" spans="2:36" x14ac:dyDescent="0.2">
      <c r="B7" s="8">
        <v>44621</v>
      </c>
      <c r="C7" s="4">
        <v>460</v>
      </c>
      <c r="D7" s="9">
        <v>6.2355658198614321E-2</v>
      </c>
      <c r="E7" s="12">
        <v>32682.210000000003</v>
      </c>
      <c r="F7" s="9">
        <v>-0.69831844296943169</v>
      </c>
      <c r="G7" s="10">
        <v>213493.3</v>
      </c>
      <c r="H7" s="9">
        <v>9.266192428521168E-2</v>
      </c>
      <c r="I7" s="11">
        <v>71.048282608695658</v>
      </c>
      <c r="J7" s="11">
        <v>3.0007153036216749</v>
      </c>
      <c r="K7" s="11" t="s">
        <v>21</v>
      </c>
      <c r="L7" s="12">
        <v>28491.019125509898</v>
      </c>
      <c r="M7" s="12">
        <v>28491.019125509898</v>
      </c>
      <c r="N7" s="11">
        <v>2185</v>
      </c>
      <c r="O7" s="12">
        <v>26306.019125509898</v>
      </c>
      <c r="P7" s="12">
        <v>22097.519125509898</v>
      </c>
      <c r="Q7" s="10">
        <v>213493.3</v>
      </c>
      <c r="R7" s="9">
        <v>9.266192428521168E-2</v>
      </c>
      <c r="S7" s="13">
        <v>0.15308307099098661</v>
      </c>
      <c r="T7" s="10">
        <v>124663.9</v>
      </c>
      <c r="U7" s="12">
        <v>24654.67</v>
      </c>
      <c r="V7" s="12">
        <v>1807.5199999999998</v>
      </c>
      <c r="W7" s="10">
        <v>65513.900000000009</v>
      </c>
      <c r="X7" s="12">
        <v>210.34</v>
      </c>
      <c r="Y7" s="4">
        <v>761.90000000000009</v>
      </c>
      <c r="Z7" s="12">
        <v>254.7</v>
      </c>
      <c r="AA7" s="4">
        <v>308</v>
      </c>
      <c r="AB7" s="12">
        <v>100.72</v>
      </c>
      <c r="AC7" s="12">
        <v>24654.67</v>
      </c>
      <c r="AD7" s="12">
        <v>8027.5400000000045</v>
      </c>
      <c r="AE7" s="12">
        <v>11792.212500000001</v>
      </c>
      <c r="AF7" s="11">
        <v>0.15308307099098661</v>
      </c>
      <c r="AG7" s="11">
        <v>0.17734825166169074</v>
      </c>
      <c r="AH7" s="12">
        <v>135779.66</v>
      </c>
      <c r="AI7" s="14">
        <v>0.46574325947473705</v>
      </c>
    </row>
    <row r="8" spans="2:36" x14ac:dyDescent="0.2">
      <c r="B8" s="8">
        <v>44652</v>
      </c>
      <c r="C8" s="4">
        <v>479</v>
      </c>
      <c r="D8" s="9">
        <v>3.9665970772442591E-2</v>
      </c>
      <c r="E8" s="12">
        <v>35469.47</v>
      </c>
      <c r="F8" s="9">
        <v>7.8581946671320388E-2</v>
      </c>
      <c r="G8" s="10">
        <v>215067.40000000002</v>
      </c>
      <c r="H8" s="9">
        <v>7.3191008958123586E-3</v>
      </c>
      <c r="I8" s="11">
        <v>74.048997912317333</v>
      </c>
      <c r="J8" s="11">
        <v>0</v>
      </c>
      <c r="K8" s="11" t="s">
        <v>21</v>
      </c>
      <c r="L8" s="12">
        <v>26154.793326426123</v>
      </c>
      <c r="M8" s="12">
        <v>54645.812451936021</v>
      </c>
      <c r="N8" s="11">
        <v>2275.25</v>
      </c>
      <c r="O8" s="12">
        <v>23879.543326426123</v>
      </c>
      <c r="P8" s="12">
        <v>45977.062451936021</v>
      </c>
      <c r="Q8" s="10">
        <v>215067.40000000002</v>
      </c>
      <c r="R8" s="9">
        <v>7.3191008958123586E-3</v>
      </c>
      <c r="S8" s="13">
        <v>0.16492257775934427</v>
      </c>
      <c r="T8" s="10">
        <v>130723.9</v>
      </c>
      <c r="U8" s="12">
        <v>25685.399999999998</v>
      </c>
      <c r="V8" s="12">
        <v>2017.85</v>
      </c>
      <c r="W8" s="10">
        <v>127645.10000000002</v>
      </c>
      <c r="X8" s="12">
        <v>155.46999999999997</v>
      </c>
      <c r="Y8" s="4">
        <v>620.5</v>
      </c>
      <c r="Z8" s="12">
        <v>210.09</v>
      </c>
      <c r="AA8" s="4">
        <v>256</v>
      </c>
      <c r="AB8" s="12">
        <v>124.77</v>
      </c>
      <c r="AC8" s="12">
        <v>25685.399999999998</v>
      </c>
      <c r="AD8" s="12">
        <v>9784.0700000000033</v>
      </c>
      <c r="AE8" s="12">
        <v>11792.212500000001</v>
      </c>
      <c r="AF8" s="11">
        <v>0.16492257775934427</v>
      </c>
      <c r="AG8" s="11">
        <v>0.17734825166169074</v>
      </c>
      <c r="AH8" s="12">
        <v>171249.13</v>
      </c>
      <c r="AI8" s="14">
        <v>0.42442362658167876</v>
      </c>
    </row>
    <row r="9" spans="2:36" x14ac:dyDescent="0.2">
      <c r="B9" s="8">
        <v>44682</v>
      </c>
      <c r="C9" s="4">
        <v>480</v>
      </c>
      <c r="D9" s="9">
        <v>2.0833333333333333E-3</v>
      </c>
      <c r="E9" s="12">
        <v>36712.839999999997</v>
      </c>
      <c r="F9" s="9">
        <v>3.3867442562329569E-2</v>
      </c>
      <c r="G9" s="10">
        <v>241373.4</v>
      </c>
      <c r="H9" s="9">
        <v>0.10898466856745595</v>
      </c>
      <c r="I9" s="11">
        <v>76.485083333333321</v>
      </c>
      <c r="J9" s="11">
        <v>-2.4360854210159886</v>
      </c>
      <c r="K9" s="11">
        <v>51.481717391304343</v>
      </c>
      <c r="L9" s="12">
        <v>32449.003968889665</v>
      </c>
      <c r="M9" s="12">
        <v>87094.816420825693</v>
      </c>
      <c r="N9" s="11">
        <v>2280</v>
      </c>
      <c r="O9" s="12">
        <v>30169.003968889665</v>
      </c>
      <c r="P9" s="12">
        <v>76146.066420825693</v>
      </c>
      <c r="Q9" s="10">
        <v>241373.4</v>
      </c>
      <c r="R9" s="9">
        <v>0.10898466856745595</v>
      </c>
      <c r="S9" s="13">
        <v>0.15209977570022212</v>
      </c>
      <c r="T9" s="10">
        <v>135507.9</v>
      </c>
      <c r="U9" s="12">
        <v>25642.63</v>
      </c>
      <c r="V9" s="12">
        <v>4456.3499999999995</v>
      </c>
      <c r="W9" s="10">
        <v>151008</v>
      </c>
      <c r="X9" s="12">
        <v>136.47999999999999</v>
      </c>
      <c r="Y9" s="4">
        <v>434.7</v>
      </c>
      <c r="Z9" s="12">
        <v>98.13</v>
      </c>
      <c r="AA9" s="4">
        <v>127</v>
      </c>
      <c r="AB9" s="12">
        <v>42.36</v>
      </c>
      <c r="AC9" s="12">
        <v>25642.63</v>
      </c>
      <c r="AD9" s="12">
        <v>11070.209999999995</v>
      </c>
      <c r="AE9" s="12">
        <v>11792.212500000001</v>
      </c>
      <c r="AF9" s="11">
        <v>0.15209977570022212</v>
      </c>
      <c r="AG9" s="11">
        <v>0.17734825166169074</v>
      </c>
      <c r="AH9" s="12">
        <v>207961.97</v>
      </c>
      <c r="AI9" s="14">
        <v>0.46917493963124896</v>
      </c>
    </row>
    <row r="10" spans="2:36" x14ac:dyDescent="0.2">
      <c r="B10" s="8">
        <v>44713</v>
      </c>
      <c r="C10" s="4">
        <v>478</v>
      </c>
      <c r="D10" s="9">
        <v>-4.1841004184100415E-3</v>
      </c>
      <c r="E10" s="12">
        <v>35893.999999999993</v>
      </c>
      <c r="F10" s="9">
        <v>-2.2812726360951802E-2</v>
      </c>
      <c r="G10" s="10">
        <v>240571</v>
      </c>
      <c r="H10" s="9">
        <v>-3.3353978659106634E-3</v>
      </c>
      <c r="I10" s="11">
        <v>75.092050209204999</v>
      </c>
      <c r="J10" s="11">
        <v>-1.0430522968876659</v>
      </c>
      <c r="K10" s="11">
        <v>48.481002087682668</v>
      </c>
      <c r="L10" s="12">
        <v>33037.928561472632</v>
      </c>
      <c r="M10" s="12">
        <v>120132.74498229832</v>
      </c>
      <c r="N10" s="11">
        <v>2270.5</v>
      </c>
      <c r="O10" s="12">
        <v>30767.428561472632</v>
      </c>
      <c r="P10" s="12">
        <v>106913.49498229832</v>
      </c>
      <c r="Q10" s="10">
        <v>240571</v>
      </c>
      <c r="R10" s="9">
        <v>-3.3353978659106634E-3</v>
      </c>
      <c r="S10" s="13">
        <v>0.1492033536876847</v>
      </c>
      <c r="T10" s="10">
        <v>125551.4</v>
      </c>
      <c r="U10" s="12">
        <v>25534.27</v>
      </c>
      <c r="V10" s="12">
        <v>3889.6599999999994</v>
      </c>
      <c r="W10" s="10">
        <v>90836.5</v>
      </c>
      <c r="X10" s="12">
        <v>139.16</v>
      </c>
      <c r="Y10" s="4">
        <v>547.9</v>
      </c>
      <c r="Z10" s="12">
        <v>105.21</v>
      </c>
      <c r="AA10" s="4">
        <v>137</v>
      </c>
      <c r="AB10" s="12">
        <v>130.44</v>
      </c>
      <c r="AC10" s="12">
        <v>25534.27</v>
      </c>
      <c r="AD10" s="12">
        <v>10359.729999999992</v>
      </c>
      <c r="AE10" s="12">
        <v>11792.212500000001</v>
      </c>
      <c r="AF10" s="11">
        <v>0.1492033536876847</v>
      </c>
      <c r="AG10" s="11">
        <v>0.17734825166169074</v>
      </c>
      <c r="AH10" s="12">
        <v>243855.97</v>
      </c>
      <c r="AI10" s="14">
        <v>0.47928339233987666</v>
      </c>
    </row>
    <row r="11" spans="2:36" x14ac:dyDescent="0.2">
      <c r="B11" s="8">
        <v>44743</v>
      </c>
      <c r="C11" s="4">
        <v>489</v>
      </c>
      <c r="D11" s="9">
        <v>2.2494887525562373E-2</v>
      </c>
      <c r="E11" s="12">
        <v>32710.1</v>
      </c>
      <c r="F11" s="9">
        <v>-9.7336908172093464E-2</v>
      </c>
      <c r="G11" s="10">
        <v>202948.2</v>
      </c>
      <c r="H11" s="9">
        <v>-0.18538129434013204</v>
      </c>
      <c r="I11" s="11">
        <v>66.891820040899788</v>
      </c>
      <c r="J11" s="11">
        <v>7.1571778714175451</v>
      </c>
      <c r="K11" s="11">
        <v>46.04491666666668</v>
      </c>
      <c r="L11" s="12">
        <v>25441.592531849055</v>
      </c>
      <c r="M11" s="12">
        <v>145574.33751414737</v>
      </c>
      <c r="N11" s="11">
        <v>2322.75</v>
      </c>
      <c r="O11" s="12">
        <v>23118.842531849055</v>
      </c>
      <c r="P11" s="12">
        <v>130032.33751414737</v>
      </c>
      <c r="Q11" s="10">
        <v>202948.2</v>
      </c>
      <c r="R11" s="9">
        <v>-0.18538129434013204</v>
      </c>
      <c r="S11" s="13">
        <v>0.16117462485501224</v>
      </c>
      <c r="T11" s="10">
        <v>97315.1</v>
      </c>
      <c r="U11" s="12">
        <v>25922.21</v>
      </c>
      <c r="V11" s="12">
        <v>541.5</v>
      </c>
      <c r="W11" s="10">
        <v>57950</v>
      </c>
      <c r="X11" s="12">
        <v>170.73999999999998</v>
      </c>
      <c r="Y11" s="4">
        <v>721.7</v>
      </c>
      <c r="Z11" s="12">
        <v>70.240000000000009</v>
      </c>
      <c r="AA11" s="4">
        <v>93</v>
      </c>
      <c r="AB11" s="12">
        <v>60.64</v>
      </c>
      <c r="AC11" s="12">
        <v>25922.21</v>
      </c>
      <c r="AD11" s="12">
        <v>6787.8899999999994</v>
      </c>
      <c r="AE11" s="12">
        <v>11792.212500000001</v>
      </c>
      <c r="AF11" s="11">
        <v>0.16117462485501224</v>
      </c>
      <c r="AG11" s="11">
        <v>0.17734825166169074</v>
      </c>
      <c r="AH11" s="12">
        <v>276566.07</v>
      </c>
      <c r="AI11" s="14">
        <v>0.43750390442917841</v>
      </c>
    </row>
    <row r="12" spans="2:36" x14ac:dyDescent="0.2">
      <c r="B12" s="8">
        <v>44774</v>
      </c>
      <c r="C12" s="4">
        <v>489</v>
      </c>
      <c r="D12" s="9">
        <v>0</v>
      </c>
      <c r="E12" s="12">
        <v>33676.65</v>
      </c>
      <c r="F12" s="9">
        <v>2.8700895130602446E-2</v>
      </c>
      <c r="G12" s="10">
        <v>216164.60000000003</v>
      </c>
      <c r="H12" s="9">
        <v>6.1140445752912463E-2</v>
      </c>
      <c r="I12" s="11">
        <v>68.86840490797546</v>
      </c>
      <c r="J12" s="11">
        <v>5.1805930043418726</v>
      </c>
      <c r="K12" s="11">
        <v>47.437949790795003</v>
      </c>
      <c r="L12" s="12">
        <v>28261.999150227195</v>
      </c>
      <c r="M12" s="12">
        <v>173836.33666437457</v>
      </c>
      <c r="N12" s="11">
        <v>2322.75</v>
      </c>
      <c r="O12" s="12">
        <v>25939.249150227195</v>
      </c>
      <c r="P12" s="12">
        <v>155971.58666437457</v>
      </c>
      <c r="Q12" s="10">
        <v>216164.60000000003</v>
      </c>
      <c r="R12" s="9">
        <v>6.1140445752912463E-2</v>
      </c>
      <c r="S12" s="13">
        <v>0.15579169762301504</v>
      </c>
      <c r="T12" s="10">
        <v>119513.60000000001</v>
      </c>
      <c r="U12" s="12">
        <v>25540.820000000003</v>
      </c>
      <c r="V12" s="12">
        <v>2130.8100000000004</v>
      </c>
      <c r="W12" s="10">
        <v>77846</v>
      </c>
      <c r="X12" s="12">
        <v>107.52</v>
      </c>
      <c r="Y12" s="4">
        <v>565</v>
      </c>
      <c r="Z12" s="12">
        <v>108.91999999999999</v>
      </c>
      <c r="AA12" s="4">
        <v>142</v>
      </c>
      <c r="AB12" s="12">
        <v>4.07</v>
      </c>
      <c r="AC12" s="12">
        <v>25540.820000000003</v>
      </c>
      <c r="AD12" s="12">
        <v>8135.8299999999981</v>
      </c>
      <c r="AE12" s="12">
        <v>11792.212500000001</v>
      </c>
      <c r="AF12" s="11">
        <v>0.15579169762301504</v>
      </c>
      <c r="AG12" s="11">
        <v>0.17734825166169074</v>
      </c>
      <c r="AH12" s="12">
        <v>310242.72000000003</v>
      </c>
      <c r="AI12" s="14">
        <v>0.45629020874639997</v>
      </c>
    </row>
    <row r="13" spans="2:36" x14ac:dyDescent="0.2">
      <c r="B13" s="8">
        <v>44805</v>
      </c>
      <c r="C13" s="4">
        <v>491</v>
      </c>
      <c r="D13" s="9">
        <v>4.0733197556008143E-3</v>
      </c>
      <c r="E13" s="12">
        <v>32969.08</v>
      </c>
      <c r="F13" s="9">
        <v>-2.1461624042891085E-2</v>
      </c>
      <c r="G13" s="10">
        <v>204332.3</v>
      </c>
      <c r="H13" s="9">
        <v>-5.7907144391758168E-2</v>
      </c>
      <c r="I13" s="11">
        <v>67.146802443991859</v>
      </c>
      <c r="J13" s="11">
        <v>6.9021954683254734</v>
      </c>
      <c r="K13" s="11">
        <v>55.638179959100214</v>
      </c>
      <c r="L13" s="12">
        <v>25579.205148257235</v>
      </c>
      <c r="M13" s="12">
        <v>199415.5418126318</v>
      </c>
      <c r="N13" s="11">
        <v>2332.25</v>
      </c>
      <c r="O13" s="12">
        <v>23246.955148257235</v>
      </c>
      <c r="P13" s="12">
        <v>179218.5418126318</v>
      </c>
      <c r="Q13" s="10">
        <v>204332.3</v>
      </c>
      <c r="R13" s="9">
        <v>-5.7907144391758168E-2</v>
      </c>
      <c r="S13" s="13">
        <v>0.16135031025442381</v>
      </c>
      <c r="T13" s="10">
        <v>118902.19999999998</v>
      </c>
      <c r="U13" s="12">
        <v>25536.399999999998</v>
      </c>
      <c r="V13" s="12">
        <v>334.75</v>
      </c>
      <c r="W13" s="10">
        <v>66381.7</v>
      </c>
      <c r="X13" s="12">
        <v>87.32</v>
      </c>
      <c r="Y13" s="4">
        <v>401</v>
      </c>
      <c r="Z13" s="12">
        <v>101.28</v>
      </c>
      <c r="AA13" s="4">
        <v>140</v>
      </c>
      <c r="AB13" s="12">
        <v>176.73</v>
      </c>
      <c r="AC13" s="12">
        <v>25536.399999999998</v>
      </c>
      <c r="AD13" s="12">
        <v>7432.6800000000039</v>
      </c>
      <c r="AE13" s="12">
        <v>11792.212500000001</v>
      </c>
      <c r="AF13" s="11">
        <v>0.16135031025442381</v>
      </c>
      <c r="AG13" s="11">
        <v>0.17734825166169074</v>
      </c>
      <c r="AH13" s="12">
        <v>343211.80000000005</v>
      </c>
      <c r="AI13" s="14">
        <v>0.43689076603157578</v>
      </c>
    </row>
    <row r="14" spans="2:36" x14ac:dyDescent="0.2">
      <c r="B14" s="8">
        <v>44835</v>
      </c>
      <c r="C14" s="4">
        <v>476</v>
      </c>
      <c r="D14" s="9">
        <v>-3.1512605042016806E-2</v>
      </c>
      <c r="E14" s="12">
        <v>33694.839999999997</v>
      </c>
      <c r="F14" s="9">
        <v>2.1539203035242038E-2</v>
      </c>
      <c r="G14" s="10">
        <v>210447.8</v>
      </c>
      <c r="H14" s="9">
        <v>2.9059462726623898E-2</v>
      </c>
      <c r="I14" s="11">
        <v>70.787478991596629</v>
      </c>
      <c r="J14" s="11">
        <v>3.2615189207207038</v>
      </c>
      <c r="K14" s="11">
        <v>53.661595092024541</v>
      </c>
      <c r="L14" s="12">
        <v>26605.747832777342</v>
      </c>
      <c r="M14" s="12">
        <v>226021.28964540915</v>
      </c>
      <c r="N14" s="11">
        <v>2261</v>
      </c>
      <c r="O14" s="12">
        <v>24344.747832777342</v>
      </c>
      <c r="P14" s="12">
        <v>203563.28964540915</v>
      </c>
      <c r="Q14" s="10">
        <v>210447.8</v>
      </c>
      <c r="R14" s="9">
        <v>2.9059462726623898E-2</v>
      </c>
      <c r="S14" s="13">
        <v>0.16011020310024623</v>
      </c>
      <c r="T14" s="10">
        <v>123850.20000000001</v>
      </c>
      <c r="U14" s="12">
        <v>25049.35</v>
      </c>
      <c r="V14" s="12">
        <v>1959.69</v>
      </c>
      <c r="W14" s="10">
        <v>70909.7</v>
      </c>
      <c r="X14" s="12">
        <v>42.32</v>
      </c>
      <c r="Y14" s="4">
        <v>145.19999999999999</v>
      </c>
      <c r="Z14" s="12">
        <v>443.59</v>
      </c>
      <c r="AA14" s="4">
        <v>531</v>
      </c>
      <c r="AB14" s="12">
        <v>204.91</v>
      </c>
      <c r="AC14" s="12">
        <v>25049.35</v>
      </c>
      <c r="AD14" s="12">
        <v>8645.489999999998</v>
      </c>
      <c r="AE14" s="12">
        <v>11792.212500000001</v>
      </c>
      <c r="AF14" s="11">
        <v>0.16011020310024623</v>
      </c>
      <c r="AG14" s="11">
        <v>0.17734825166169074</v>
      </c>
      <c r="AH14" s="12">
        <v>376906.64</v>
      </c>
      <c r="AI14" s="14">
        <v>0.44121871426127901</v>
      </c>
    </row>
    <row r="15" spans="2:36" x14ac:dyDescent="0.2">
      <c r="B15" s="8">
        <v>44866</v>
      </c>
      <c r="C15" s="4">
        <v>484</v>
      </c>
      <c r="D15" s="9">
        <v>1.6528925619834711E-2</v>
      </c>
      <c r="E15" s="12">
        <v>34155.480000000003</v>
      </c>
      <c r="F15" s="9">
        <v>1.3486562039239579E-2</v>
      </c>
      <c r="G15" s="10">
        <v>217479</v>
      </c>
      <c r="H15" s="9">
        <v>3.2330477885221157E-2</v>
      </c>
      <c r="I15" s="11">
        <v>70.569173553719011</v>
      </c>
      <c r="J15" s="11">
        <v>3.4798243585983215</v>
      </c>
      <c r="K15" s="11">
        <v>55.383197556008142</v>
      </c>
      <c r="L15" s="12">
        <v>28159.790301160589</v>
      </c>
      <c r="M15" s="12">
        <v>254181.07994656975</v>
      </c>
      <c r="N15" s="11">
        <v>2299</v>
      </c>
      <c r="O15" s="12">
        <v>25860.790301160589</v>
      </c>
      <c r="P15" s="12">
        <v>229424.07994656975</v>
      </c>
      <c r="Q15" s="10">
        <v>217479</v>
      </c>
      <c r="R15" s="9">
        <v>3.2330477885221157E-2</v>
      </c>
      <c r="S15" s="13">
        <v>0.15705185328238591</v>
      </c>
      <c r="T15" s="10">
        <v>131657</v>
      </c>
      <c r="U15" s="12">
        <v>25309.940000000002</v>
      </c>
      <c r="V15" s="12">
        <v>2076.0199999999995</v>
      </c>
      <c r="W15" s="10">
        <v>76462</v>
      </c>
      <c r="X15" s="12">
        <v>25.970000000000002</v>
      </c>
      <c r="Y15" s="4">
        <v>94.2</v>
      </c>
      <c r="Z15" s="12">
        <v>256.45000000000005</v>
      </c>
      <c r="AA15" s="4">
        <v>313</v>
      </c>
      <c r="AB15" s="12">
        <v>100.98</v>
      </c>
      <c r="AC15" s="12">
        <v>25309.940000000002</v>
      </c>
      <c r="AD15" s="12">
        <v>8845.5400000000009</v>
      </c>
      <c r="AE15" s="12">
        <v>11792.212500000001</v>
      </c>
      <c r="AF15" s="11">
        <v>0.15705185328238591</v>
      </c>
      <c r="AG15" s="11">
        <v>0.17734825166169074</v>
      </c>
      <c r="AH15" s="12">
        <v>411062.12</v>
      </c>
      <c r="AI15" s="14">
        <v>0.45189229164967815</v>
      </c>
    </row>
    <row r="16" spans="2:36" x14ac:dyDescent="0.2">
      <c r="B16" s="8">
        <v>44896</v>
      </c>
      <c r="C16" s="4">
        <v>479</v>
      </c>
      <c r="D16" s="9">
        <v>-1.0438413361169102E-2</v>
      </c>
      <c r="E16" s="12">
        <v>31911.640000000003</v>
      </c>
      <c r="F16" s="9">
        <v>-7.0314154960384359E-2</v>
      </c>
      <c r="G16" s="10">
        <v>204421.1</v>
      </c>
      <c r="H16" s="9">
        <v>-6.3877456877005329E-2</v>
      </c>
      <c r="I16" s="11">
        <v>66.621377870563677</v>
      </c>
      <c r="J16" s="11">
        <v>7.4276200417536558</v>
      </c>
      <c r="K16" s="11">
        <v>51.742521008403372</v>
      </c>
      <c r="L16" s="12">
        <v>26662.089425648359</v>
      </c>
      <c r="M16" s="12">
        <v>280843.16937221808</v>
      </c>
      <c r="N16" s="11">
        <v>2275.25</v>
      </c>
      <c r="O16" s="12">
        <v>24386.839425648359</v>
      </c>
      <c r="P16" s="12">
        <v>253810.91937221811</v>
      </c>
      <c r="Q16" s="10">
        <v>204421.1</v>
      </c>
      <c r="R16" s="9">
        <v>-6.3877456877005329E-2</v>
      </c>
      <c r="S16" s="13">
        <v>0.15610736856420399</v>
      </c>
      <c r="T16" s="10">
        <v>134642.4</v>
      </c>
      <c r="U16" s="12">
        <v>25124.920000000002</v>
      </c>
      <c r="V16" s="12">
        <v>735.8</v>
      </c>
      <c r="W16" s="10">
        <v>66305.599999999991</v>
      </c>
      <c r="X16" s="12">
        <v>53.32</v>
      </c>
      <c r="Y16" s="4">
        <v>199.2</v>
      </c>
      <c r="Z16" s="12">
        <v>56.83</v>
      </c>
      <c r="AA16" s="4">
        <v>67</v>
      </c>
      <c r="AB16" s="12">
        <v>26.15</v>
      </c>
      <c r="AC16" s="12">
        <v>25124.920000000002</v>
      </c>
      <c r="AD16" s="12">
        <v>6786.7200000000012</v>
      </c>
      <c r="AE16" s="12">
        <v>11792.212500000001</v>
      </c>
      <c r="AF16" s="11">
        <v>0.15610736856420399</v>
      </c>
      <c r="AG16" s="11">
        <v>0.17734825166169074</v>
      </c>
      <c r="AH16" s="12">
        <v>442973.76</v>
      </c>
      <c r="AI16" s="14">
        <v>0.4551885237133888</v>
      </c>
    </row>
    <row r="17" spans="2:48" x14ac:dyDescent="0.2">
      <c r="B17" s="18"/>
      <c r="C17" s="18"/>
      <c r="D17" s="18"/>
      <c r="E17" s="18"/>
      <c r="F17" s="18"/>
      <c r="G17" s="18"/>
      <c r="H17" s="18"/>
      <c r="I17" s="18"/>
      <c r="J17" s="18"/>
      <c r="K17" s="18"/>
      <c r="L17" s="18"/>
      <c r="M17" s="18"/>
      <c r="N17" s="18"/>
      <c r="O17" s="18"/>
      <c r="P17" s="18"/>
      <c r="Q17" s="18"/>
      <c r="R17" s="18"/>
      <c r="S17" s="18"/>
      <c r="T17" s="18"/>
      <c r="U17" s="18"/>
      <c r="V17" s="18"/>
      <c r="W17" s="18"/>
      <c r="X17" s="18"/>
      <c r="Y17" s="18"/>
      <c r="Z17" s="18"/>
      <c r="AA17" s="18"/>
      <c r="AB17" s="18"/>
      <c r="AC17" s="18"/>
      <c r="AD17" s="18"/>
      <c r="AE17" s="18"/>
      <c r="AF17" s="18"/>
      <c r="AG17" s="18"/>
      <c r="AH17" s="18"/>
      <c r="AI17" s="18"/>
      <c r="AJ17" s="18"/>
    </row>
    <row r="18" spans="2:48" ht="25.5" x14ac:dyDescent="0.2">
      <c r="D18" s="17" t="s">
        <v>47</v>
      </c>
    </row>
    <row r="22" spans="2:48" ht="15" x14ac:dyDescent="0.25">
      <c r="B22"/>
      <c r="C22"/>
    </row>
    <row r="23" spans="2:48" ht="15" x14ac:dyDescent="0.25">
      <c r="B23"/>
      <c r="C23"/>
    </row>
    <row r="24" spans="2:48" ht="15" x14ac:dyDescent="0.25">
      <c r="B24"/>
      <c r="C24"/>
    </row>
    <row r="25" spans="2:48" ht="15" x14ac:dyDescent="0.25">
      <c r="B25"/>
      <c r="C25"/>
    </row>
    <row r="26" spans="2:48" ht="15" x14ac:dyDescent="0.25">
      <c r="B26"/>
      <c r="C26"/>
    </row>
    <row r="27" spans="2:48" ht="15" x14ac:dyDescent="0.25">
      <c r="B27"/>
      <c r="C27"/>
    </row>
    <row r="28" spans="2:48" ht="15" x14ac:dyDescent="0.25">
      <c r="B28"/>
      <c r="C28"/>
    </row>
    <row r="29" spans="2:48" ht="15" x14ac:dyDescent="0.25">
      <c r="B29"/>
      <c r="C29"/>
      <c r="AU29" s="2"/>
      <c r="AV29" s="2" t="s">
        <v>22</v>
      </c>
    </row>
    <row r="30" spans="2:48" ht="15" x14ac:dyDescent="0.25">
      <c r="B30"/>
      <c r="C30"/>
      <c r="AU30" s="3" t="s">
        <v>23</v>
      </c>
      <c r="AV30" s="3" t="s">
        <v>24</v>
      </c>
    </row>
    <row r="31" spans="2:48" ht="15" x14ac:dyDescent="0.25">
      <c r="B31"/>
      <c r="C31"/>
      <c r="AU31" s="4" t="s">
        <v>25</v>
      </c>
      <c r="AV31" s="4">
        <v>166</v>
      </c>
    </row>
    <row r="32" spans="2:48" ht="15" x14ac:dyDescent="0.25">
      <c r="B32"/>
      <c r="C32"/>
      <c r="AU32" s="4" t="s">
        <v>26</v>
      </c>
      <c r="AV32" s="4">
        <v>45</v>
      </c>
    </row>
    <row r="33" spans="2:48" ht="15" x14ac:dyDescent="0.25">
      <c r="B33"/>
      <c r="C33"/>
      <c r="AU33" s="4" t="s">
        <v>27</v>
      </c>
      <c r="AV33" s="4">
        <v>23</v>
      </c>
    </row>
    <row r="34" spans="2:48" x14ac:dyDescent="0.2">
      <c r="AU34" s="4" t="s">
        <v>28</v>
      </c>
      <c r="AV34" s="4">
        <v>19</v>
      </c>
    </row>
    <row r="35" spans="2:48" x14ac:dyDescent="0.2">
      <c r="AU35" s="4" t="s">
        <v>29</v>
      </c>
      <c r="AV35" s="4">
        <v>32</v>
      </c>
    </row>
    <row r="36" spans="2:48" x14ac:dyDescent="0.2">
      <c r="AU36" s="4" t="s">
        <v>30</v>
      </c>
      <c r="AV36" s="4">
        <v>21</v>
      </c>
    </row>
    <row r="37" spans="2:48" x14ac:dyDescent="0.2">
      <c r="AU37" s="4" t="s">
        <v>31</v>
      </c>
      <c r="AV37" s="4">
        <v>32</v>
      </c>
    </row>
    <row r="38" spans="2:48" x14ac:dyDescent="0.2">
      <c r="AU38" s="4" t="s">
        <v>32</v>
      </c>
      <c r="AV38" s="4">
        <v>24</v>
      </c>
    </row>
    <row r="39" spans="2:48" x14ac:dyDescent="0.2">
      <c r="AU39" s="5" t="s">
        <v>33</v>
      </c>
      <c r="AV39" s="4">
        <v>117</v>
      </c>
    </row>
    <row r="40" spans="2:48" x14ac:dyDescent="0.2">
      <c r="AU40" s="4" t="s">
        <v>34</v>
      </c>
      <c r="AV40" s="4">
        <f>SUM(AV31:AV39)</f>
        <v>479</v>
      </c>
    </row>
    <row r="41" spans="2:48" x14ac:dyDescent="0.2">
      <c r="AU41" s="4" t="s">
        <v>35</v>
      </c>
      <c r="AV41" s="6" t="s">
        <v>36</v>
      </c>
    </row>
    <row r="42" spans="2:48" x14ac:dyDescent="0.2">
      <c r="AU42" s="5" t="s">
        <v>33</v>
      </c>
      <c r="AV42" s="4">
        <v>117</v>
      </c>
    </row>
    <row r="43" spans="2:48" x14ac:dyDescent="0.2">
      <c r="AU43" s="4" t="s">
        <v>37</v>
      </c>
      <c r="AV43" s="4">
        <v>211</v>
      </c>
    </row>
    <row r="44" spans="2:48" x14ac:dyDescent="0.2">
      <c r="AU44" s="4" t="s">
        <v>38</v>
      </c>
      <c r="AV44" s="4">
        <v>127</v>
      </c>
    </row>
    <row r="45" spans="2:48" x14ac:dyDescent="0.2">
      <c r="AU45" s="4" t="s">
        <v>32</v>
      </c>
      <c r="AV45" s="4">
        <v>24</v>
      </c>
    </row>
  </sheetData>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A9186-0A75-47D6-B53B-0020225AF7AF}">
  <sheetPr codeName="Sheet2"/>
  <dimension ref="A8:H111"/>
  <sheetViews>
    <sheetView zoomScale="80" zoomScaleNormal="80" workbookViewId="0"/>
  </sheetViews>
  <sheetFormatPr defaultRowHeight="15" x14ac:dyDescent="0.25"/>
  <cols>
    <col min="1" max="1" width="58.42578125" bestFit="1" customWidth="1"/>
    <col min="2" max="2" width="13.5703125" customWidth="1"/>
    <col min="3" max="3" width="54.7109375" customWidth="1"/>
    <col min="4" max="4" width="11.5703125" bestFit="1" customWidth="1"/>
  </cols>
  <sheetData>
    <row r="8" spans="1:8" x14ac:dyDescent="0.25">
      <c r="A8" s="33" t="s">
        <v>103</v>
      </c>
    </row>
    <row r="9" spans="1:8" x14ac:dyDescent="0.25">
      <c r="A9" t="s">
        <v>104</v>
      </c>
    </row>
    <row r="10" spans="1:8" x14ac:dyDescent="0.25">
      <c r="A10" t="s">
        <v>105</v>
      </c>
    </row>
    <row r="11" spans="1:8" x14ac:dyDescent="0.25">
      <c r="A11" t="s">
        <v>106</v>
      </c>
    </row>
    <row r="12" spans="1:8" ht="15.75" x14ac:dyDescent="0.25">
      <c r="A12" t="s">
        <v>107</v>
      </c>
      <c r="H12" s="32"/>
    </row>
    <row r="13" spans="1:8" x14ac:dyDescent="0.25">
      <c r="A13" t="s">
        <v>108</v>
      </c>
      <c r="B13" s="33"/>
      <c r="C13" s="33" t="s">
        <v>68</v>
      </c>
      <c r="D13" s="33" t="s">
        <v>69</v>
      </c>
    </row>
    <row r="14" spans="1:8" ht="15" customHeight="1" x14ac:dyDescent="0.25">
      <c r="A14" t="s">
        <v>109</v>
      </c>
      <c r="B14">
        <v>1</v>
      </c>
      <c r="C14" t="s">
        <v>84</v>
      </c>
      <c r="D14" t="s">
        <v>70</v>
      </c>
    </row>
    <row r="15" spans="1:8" ht="15" customHeight="1" x14ac:dyDescent="0.25">
      <c r="A15" t="s">
        <v>110</v>
      </c>
      <c r="B15">
        <v>2</v>
      </c>
      <c r="C15" t="s">
        <v>86</v>
      </c>
      <c r="D15" t="s">
        <v>72</v>
      </c>
    </row>
    <row r="16" spans="1:8" ht="15" customHeight="1" x14ac:dyDescent="0.25">
      <c r="A16" t="s">
        <v>111</v>
      </c>
      <c r="B16">
        <v>3</v>
      </c>
      <c r="C16" t="s">
        <v>98</v>
      </c>
      <c r="D16" t="s">
        <v>35</v>
      </c>
    </row>
    <row r="17" spans="1:4" ht="15" customHeight="1" x14ac:dyDescent="0.25">
      <c r="A17" t="s">
        <v>112</v>
      </c>
      <c r="B17">
        <v>4</v>
      </c>
      <c r="C17" t="s">
        <v>87</v>
      </c>
      <c r="D17" t="s">
        <v>73</v>
      </c>
    </row>
    <row r="18" spans="1:4" ht="15" customHeight="1" x14ac:dyDescent="0.25">
      <c r="A18" t="s">
        <v>113</v>
      </c>
      <c r="B18">
        <v>5</v>
      </c>
      <c r="C18" t="s">
        <v>85</v>
      </c>
      <c r="D18" t="s">
        <v>71</v>
      </c>
    </row>
    <row r="19" spans="1:4" ht="15" customHeight="1" x14ac:dyDescent="0.25">
      <c r="A19" t="s">
        <v>114</v>
      </c>
      <c r="B19">
        <v>6</v>
      </c>
      <c r="C19" t="s">
        <v>88</v>
      </c>
      <c r="D19" t="s">
        <v>74</v>
      </c>
    </row>
    <row r="20" spans="1:4" ht="15" customHeight="1" x14ac:dyDescent="0.25">
      <c r="A20" t="s">
        <v>115</v>
      </c>
      <c r="B20">
        <v>7</v>
      </c>
      <c r="C20" t="s">
        <v>96</v>
      </c>
      <c r="D20" t="s">
        <v>82</v>
      </c>
    </row>
    <row r="21" spans="1:4" ht="15" customHeight="1" x14ac:dyDescent="0.25">
      <c r="A21" t="s">
        <v>116</v>
      </c>
      <c r="B21">
        <v>8</v>
      </c>
      <c r="C21" t="s">
        <v>89</v>
      </c>
      <c r="D21" t="s">
        <v>75</v>
      </c>
    </row>
    <row r="22" spans="1:4" ht="15" customHeight="1" x14ac:dyDescent="0.25">
      <c r="A22" t="s">
        <v>117</v>
      </c>
      <c r="B22">
        <v>9</v>
      </c>
      <c r="C22" t="s">
        <v>90</v>
      </c>
      <c r="D22" t="s">
        <v>76</v>
      </c>
    </row>
    <row r="23" spans="1:4" ht="15" customHeight="1" x14ac:dyDescent="0.25">
      <c r="A23" t="s">
        <v>118</v>
      </c>
      <c r="B23">
        <v>10</v>
      </c>
      <c r="C23" t="s">
        <v>91</v>
      </c>
      <c r="D23" t="s">
        <v>77</v>
      </c>
    </row>
    <row r="24" spans="1:4" ht="15" customHeight="1" x14ac:dyDescent="0.25">
      <c r="A24" t="s">
        <v>119</v>
      </c>
      <c r="B24">
        <v>11</v>
      </c>
      <c r="C24" t="s">
        <v>92</v>
      </c>
      <c r="D24" t="s">
        <v>78</v>
      </c>
    </row>
    <row r="25" spans="1:4" ht="15" customHeight="1" x14ac:dyDescent="0.25">
      <c r="A25" t="s">
        <v>120</v>
      </c>
      <c r="B25">
        <v>12</v>
      </c>
      <c r="C25" t="s">
        <v>93</v>
      </c>
      <c r="D25" t="s">
        <v>79</v>
      </c>
    </row>
    <row r="26" spans="1:4" ht="15" customHeight="1" x14ac:dyDescent="0.25">
      <c r="A26" t="s">
        <v>121</v>
      </c>
      <c r="B26">
        <v>13</v>
      </c>
      <c r="C26" t="s">
        <v>97</v>
      </c>
      <c r="D26" t="s">
        <v>83</v>
      </c>
    </row>
    <row r="27" spans="1:4" ht="15" customHeight="1" x14ac:dyDescent="0.25">
      <c r="A27" t="s">
        <v>122</v>
      </c>
      <c r="B27">
        <v>14</v>
      </c>
      <c r="C27" t="s">
        <v>94</v>
      </c>
      <c r="D27" t="s">
        <v>80</v>
      </c>
    </row>
    <row r="28" spans="1:4" ht="15" customHeight="1" x14ac:dyDescent="0.25">
      <c r="A28" t="s">
        <v>123</v>
      </c>
      <c r="B28">
        <v>15</v>
      </c>
      <c r="C28" t="s">
        <v>95</v>
      </c>
      <c r="D28" t="s">
        <v>81</v>
      </c>
    </row>
    <row r="29" spans="1:4" ht="15" customHeight="1" x14ac:dyDescent="0.25">
      <c r="A29" t="s">
        <v>124</v>
      </c>
      <c r="B29">
        <v>16</v>
      </c>
      <c r="C29" t="s">
        <v>101</v>
      </c>
      <c r="D29" t="s">
        <v>102</v>
      </c>
    </row>
    <row r="30" spans="1:4" ht="15" customHeight="1" x14ac:dyDescent="0.25"/>
    <row r="31" spans="1:4" ht="15" customHeight="1" x14ac:dyDescent="0.25"/>
    <row r="32" spans="1:4"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spans="3:3" ht="15" customHeight="1" x14ac:dyDescent="0.25"/>
    <row r="82" spans="3:3" ht="15" customHeight="1" x14ac:dyDescent="0.25"/>
    <row r="83" spans="3:3" ht="15" customHeight="1" x14ac:dyDescent="0.25"/>
    <row r="84" spans="3:3" ht="15" customHeight="1" x14ac:dyDescent="0.25"/>
    <row r="85" spans="3:3" ht="15" customHeight="1" x14ac:dyDescent="0.25"/>
    <row r="86" spans="3:3" ht="15" customHeight="1" x14ac:dyDescent="0.25"/>
    <row r="87" spans="3:3" ht="15" customHeight="1" x14ac:dyDescent="0.25"/>
    <row r="88" spans="3:3" ht="15" customHeight="1" x14ac:dyDescent="0.25"/>
    <row r="89" spans="3:3" ht="15" customHeight="1" x14ac:dyDescent="0.25"/>
    <row r="90" spans="3:3" ht="15" customHeight="1" x14ac:dyDescent="0.25"/>
    <row r="91" spans="3:3" ht="15" customHeight="1" x14ac:dyDescent="0.25"/>
    <row r="92" spans="3:3" ht="15" customHeight="1" x14ac:dyDescent="0.25"/>
    <row r="93" spans="3:3" ht="15" customHeight="1" x14ac:dyDescent="0.25"/>
    <row r="95" spans="3:3" x14ac:dyDescent="0.25">
      <c r="C95" s="33" t="s">
        <v>99</v>
      </c>
    </row>
    <row r="96" spans="3:3" ht="45" x14ac:dyDescent="0.25">
      <c r="C96" s="34" t="str">
        <f>CONCATENATE("Sub btn_" &amp; D14 &amp; "_Click()" &amp; CHAR(10) &amp; "    Sheets(""" &amp; C14  &amp; """).select " &amp; CHAR(10) &amp;  "End Sub")</f>
        <v>Sub btn_CSS_Click()
    Sheets("Cumulative_Savings_vs_Spend").select 
End Sub</v>
      </c>
    </row>
    <row r="97" spans="3:3" ht="45" x14ac:dyDescent="0.25">
      <c r="C97" s="34" t="str">
        <f>CONCATENATE("Sub btn_" &amp; D18 &amp; "_Click()" &amp; CHAR(10) &amp; "    Sheets(""" &amp; C18  &amp; """).select " &amp; CHAR(10) &amp;  "End Sub")</f>
        <v>Sub btn_YTDTC_Click()
    Sheets("YTD_Trending_Charges").select 
End Sub</v>
      </c>
    </row>
    <row r="98" spans="3:3" ht="45" x14ac:dyDescent="0.25">
      <c r="C98" s="34" t="str">
        <f>CONCATENATE("Sub btn_" &amp; D15 &amp; "_Click()" &amp; CHAR(10) &amp; "    Sheets(""" &amp; C15  &amp; """).select " &amp; CHAR(10) &amp;  "End Sub")</f>
        <v>Sub btn_NCS_Click()
    Sheets("Net_Cumulative_Savings").select 
End Sub</v>
      </c>
    </row>
    <row r="99" spans="3:3" ht="45" x14ac:dyDescent="0.25">
      <c r="C99" s="34" t="str">
        <f>CONCATENATE("Sub btn_" &amp; D17 &amp; "_Click()" &amp; CHAR(10) &amp; "    Sheets(""" &amp; C17  &amp; """).select " &amp; CHAR(10) &amp;  "End Sub")</f>
        <v>Sub btn_WSM_Click()
    Sheets("Wireless_Spend_and_Minutes").select 
End Sub</v>
      </c>
    </row>
    <row r="100" spans="3:3" ht="45" x14ac:dyDescent="0.25">
      <c r="C100" s="34" t="str">
        <f>CONCATENATE("Sub btn_" &amp; D19 &amp; "_Click()" &amp; CHAR(10) &amp; "    Sheets(""" &amp; C19  &amp; """).select " &amp; CHAR(10) &amp;  "End Sub")</f>
        <v>Sub btn_MSB_Click()
    Sheets("Monthly_Savings_vs_Baseline").select 
End Sub</v>
      </c>
    </row>
    <row r="101" spans="3:3" ht="45" x14ac:dyDescent="0.25">
      <c r="C101" s="34" t="str">
        <f>CONCATENATE("Sub btn_" &amp; D21 &amp; "_Click()" &amp; CHAR(10) &amp; "    Sheets(""" &amp; C21  &amp; """).select " &amp; CHAR(10) &amp;  "End Sub")</f>
        <v>Sub btn_NSSC_Click()
    Sheets("NetSavings_vs_SourceMobile_Cost").select 
End Sub</v>
      </c>
    </row>
    <row r="102" spans="3:3" ht="45" x14ac:dyDescent="0.25">
      <c r="C102" s="34" t="str">
        <f>CONCATENATE("Sub btn_" &amp; D22 &amp; "_Click()" &amp; CHAR(10) &amp; "    Sheets(""" &amp; C22  &amp; """).select " &amp; CHAR(10) &amp;  "End Sub")</f>
        <v>Sub btn_TSM_Click()
    Sheets("Total_Spend_and_Minutes").select 
End Sub</v>
      </c>
    </row>
    <row r="103" spans="3:3" ht="45" x14ac:dyDescent="0.25">
      <c r="C103" s="34" t="str">
        <f>CONCATENATE("Sub btn_" &amp; D23 &amp; "_Click()" &amp; CHAR(10) &amp; "    Sheets(""" &amp; C23  &amp; """).select " &amp; CHAR(10) &amp;  "End Sub")</f>
        <v>Sub btn_MSC_Click()
    Sheets("MonthlySpend_vs_CumlSavings").select 
End Sub</v>
      </c>
    </row>
    <row r="104" spans="3:3" ht="45" x14ac:dyDescent="0.25">
      <c r="C104" s="34" t="str">
        <f>CONCATENATE("Sub btn_" &amp; D24 &amp; "_Click()" &amp; CHAR(10) &amp; "    Sheets(""" &amp; C24  &amp; """).select " &amp; CHAR(10) &amp;  "End Sub")</f>
        <v>Sub btn_MMACP_Click()
    Sheets("Monthly_Mins_Avg_Cost_perPhone").select 
End Sub</v>
      </c>
    </row>
    <row r="105" spans="3:3" ht="45" x14ac:dyDescent="0.25">
      <c r="C105" s="34" t="str">
        <f>CONCATENATE("Sub btn_" &amp; D25 &amp; "_Click()" &amp; CHAR(10) &amp; "    Sheets(""" &amp; C25  &amp; """).select " &amp; CHAR(10) &amp;  "End Sub")</f>
        <v>Sub btn_UCPM_Click()
    Sheets("Usage_Cost_Per_Minute").select 
End Sub</v>
      </c>
    </row>
    <row r="106" spans="3:3" ht="45" x14ac:dyDescent="0.25">
      <c r="C106" s="34" t="str">
        <f>CONCATENATE("Sub btn_" &amp; D27 &amp; "_Click()" &amp; CHAR(10) &amp; "    Sheets(""" &amp; C27  &amp; """).select " &amp; CHAR(10) &amp;  "End Sub")</f>
        <v>Sub btn_MMC_Click()
    Sheets("Monthly_Minutes_and_CPM").select 
End Sub</v>
      </c>
    </row>
    <row r="107" spans="3:3" ht="45" x14ac:dyDescent="0.25">
      <c r="C107" s="34" t="str">
        <f>CONCATENATE("Sub btn_" &amp; D28 &amp; "_Click()" &amp; CHAR(10) &amp; "    Sheets(""" &amp; C28  &amp; """).select " &amp; CHAR(10) &amp;  "End Sub")</f>
        <v>Sub btn_SMU_Click()
    Sheets("Savings_vs_Minutes_of_Use").select 
End Sub</v>
      </c>
    </row>
    <row r="108" spans="3:3" ht="45" x14ac:dyDescent="0.25">
      <c r="C108" s="34" t="str">
        <f>CONCATENATE("Sub btn_" &amp; D29 &amp; "_Click()" &amp; CHAR(10) &amp; "    Sheets(""" &amp; C29  &amp; """).select " &amp; CHAR(10) &amp;  "End Sub")</f>
        <v>Sub btn_NSMU_Click()
    Sheets("Net Savings &amp; Mins of Use").select 
End Sub</v>
      </c>
    </row>
    <row r="109" spans="3:3" ht="45" x14ac:dyDescent="0.25">
      <c r="C109" s="34" t="str">
        <f>CONCATENATE("Sub btn_" &amp; D20 &amp; "_Click()" &amp; CHAR(10) &amp; "    Sheets(""" &amp; C20  &amp; """).select " &amp; CHAR(10) &amp;  "End Sub")</f>
        <v>Sub btn_WSND_Click()
    Sheets("Wireless_Spend_and_Num_Devices").select 
End Sub</v>
      </c>
    </row>
    <row r="110" spans="3:3" ht="45" x14ac:dyDescent="0.25">
      <c r="C110" s="34" t="str">
        <f>CONCATENATE("Sub btn_" &amp; D26 &amp; "_Click()" &amp; CHAR(10) &amp; "    Sheets(""" &amp; C26  &amp; """).select " &amp; CHAR(10) &amp;  "End Sub")</f>
        <v>Sub btn_UO_Click()
    Sheets("Usage_Overview").select 
End Sub</v>
      </c>
    </row>
    <row r="111" spans="3:3" ht="45" x14ac:dyDescent="0.25">
      <c r="C111" s="34" t="str">
        <f>CONCATENATE("Sub btn_" &amp; D16 &amp; "_Click()" &amp; CHAR(10) &amp; "    Sheets(""" &amp; C16  &amp; """).select " &amp; CHAR(10) &amp;  "End Sub")</f>
        <v>Sub btn_CPM_Click()
    Sheets("Cost_per_Minute").select 
End Sub</v>
      </c>
    </row>
  </sheetData>
  <sortState xmlns:xlrd2="http://schemas.microsoft.com/office/spreadsheetml/2017/richdata2" ref="D18">
    <sortCondition ref="D18"/>
  </sortState>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38B894-1D33-453C-8D97-C0DA5C6F264C}">
  <sheetPr codeName="Sheet3">
    <pageSetUpPr autoPageBreaks="0" fitToPage="1"/>
  </sheetPr>
  <dimension ref="A1:AI109"/>
  <sheetViews>
    <sheetView showGridLines="0" showRowColHeaders="0" tabSelected="1" zoomScale="80" zoomScaleNormal="80" workbookViewId="0">
      <selection activeCell="J7" sqref="J7"/>
    </sheetView>
  </sheetViews>
  <sheetFormatPr defaultColWidth="8.85546875" defaultRowHeight="12.75" x14ac:dyDescent="0.2"/>
  <cols>
    <col min="1" max="1" width="4.7109375" style="4" customWidth="1"/>
    <col min="2" max="2" width="20.7109375" style="4" customWidth="1"/>
    <col min="3" max="3" width="2.7109375" style="4" customWidth="1"/>
    <col min="4" max="4" width="20.7109375" style="4" customWidth="1"/>
    <col min="5" max="5" width="2.7109375" style="4" customWidth="1"/>
    <col min="6" max="6" width="20.7109375" style="4" customWidth="1"/>
    <col min="7" max="7" width="2.7109375" style="4" customWidth="1"/>
    <col min="8" max="8" width="20.7109375" style="4" customWidth="1"/>
    <col min="9" max="9" width="2.7109375" style="4" customWidth="1"/>
    <col min="10" max="10" width="20.7109375" style="4" customWidth="1"/>
    <col min="11" max="11" width="2.7109375" style="4" customWidth="1"/>
    <col min="12" max="12" width="20.7109375" style="4" customWidth="1"/>
    <col min="13" max="14" width="8.85546875" style="4"/>
    <col min="15" max="15" width="6.7109375" style="4" customWidth="1"/>
    <col min="16" max="18" width="8.85546875" style="4"/>
    <col min="19" max="19" width="6.7109375" style="4" customWidth="1"/>
    <col min="20" max="16384" width="8.85546875" style="4"/>
  </cols>
  <sheetData>
    <row r="1" spans="1:35" ht="109.5" customHeight="1" x14ac:dyDescent="0.3">
      <c r="A1" s="19"/>
      <c r="B1" s="19"/>
      <c r="C1" s="19"/>
      <c r="D1" s="19"/>
      <c r="E1" s="19"/>
      <c r="F1" s="19"/>
      <c r="G1" s="19"/>
      <c r="H1" s="19"/>
      <c r="I1" s="19"/>
      <c r="J1" s="19"/>
      <c r="K1" s="19"/>
      <c r="L1" s="19"/>
      <c r="M1" s="35"/>
      <c r="N1" s="19"/>
      <c r="O1" s="19"/>
      <c r="P1" s="19"/>
      <c r="Q1" s="19"/>
      <c r="R1" s="19"/>
      <c r="S1" s="19"/>
      <c r="T1" s="19"/>
      <c r="U1" s="19"/>
      <c r="V1" s="19"/>
      <c r="W1" s="19"/>
      <c r="X1" s="19"/>
      <c r="Y1" s="19"/>
      <c r="Z1" s="19"/>
      <c r="AA1" s="19"/>
      <c r="AB1" s="19"/>
      <c r="AC1" s="19"/>
      <c r="AD1" s="19"/>
      <c r="AE1" s="19"/>
      <c r="AF1" s="19"/>
      <c r="AG1" s="19"/>
      <c r="AH1" s="19"/>
      <c r="AI1" s="19"/>
    </row>
    <row r="2" spans="1:35" ht="12.75" customHeight="1" x14ac:dyDescent="0.2">
      <c r="A2" s="20"/>
      <c r="B2" s="20"/>
      <c r="C2" s="20"/>
      <c r="D2" s="20"/>
      <c r="E2" s="20"/>
      <c r="F2" s="20"/>
      <c r="G2" s="20"/>
      <c r="H2" s="20"/>
      <c r="I2" s="20"/>
      <c r="J2" s="20"/>
      <c r="K2" s="20"/>
      <c r="L2" s="20"/>
      <c r="M2" s="20"/>
      <c r="N2" s="20"/>
      <c r="O2" s="20"/>
      <c r="P2" s="20"/>
      <c r="Q2" s="20"/>
      <c r="R2" s="20"/>
      <c r="S2" s="20"/>
      <c r="T2" s="20"/>
      <c r="U2" s="20"/>
      <c r="V2" s="20"/>
      <c r="W2" s="21"/>
      <c r="X2" s="21"/>
      <c r="Y2" s="21"/>
      <c r="Z2" s="21"/>
      <c r="AA2" s="21"/>
      <c r="AB2" s="21"/>
      <c r="AC2" s="21"/>
      <c r="AD2" s="21"/>
      <c r="AE2" s="21"/>
      <c r="AF2" s="21"/>
      <c r="AG2" s="21"/>
      <c r="AH2" s="21"/>
      <c r="AI2" s="21"/>
    </row>
    <row r="3" spans="1:35" s="1" customFormat="1" ht="69.95" customHeight="1" x14ac:dyDescent="0.2">
      <c r="A3" s="22"/>
      <c r="B3" s="22"/>
      <c r="C3" s="22"/>
      <c r="D3" s="22"/>
      <c r="E3" s="22"/>
      <c r="F3" s="22"/>
      <c r="G3" s="22"/>
      <c r="H3" s="22"/>
      <c r="I3" s="22"/>
      <c r="J3" s="22"/>
      <c r="K3" s="22"/>
      <c r="L3" s="23"/>
      <c r="M3" s="36"/>
      <c r="N3" s="36"/>
      <c r="O3" s="23"/>
      <c r="P3" s="23"/>
      <c r="Q3" s="23"/>
      <c r="R3" s="23"/>
      <c r="S3" s="23"/>
      <c r="T3" s="23"/>
      <c r="U3" s="23"/>
      <c r="V3" s="23"/>
      <c r="W3" s="23"/>
      <c r="X3" s="23"/>
      <c r="Y3" s="23"/>
      <c r="Z3" s="23"/>
      <c r="AA3" s="23"/>
      <c r="AB3" s="23"/>
      <c r="AC3" s="23"/>
      <c r="AD3" s="23"/>
      <c r="AE3" s="23"/>
      <c r="AF3" s="23"/>
      <c r="AG3" s="23"/>
      <c r="AH3" s="23"/>
      <c r="AI3" s="23"/>
    </row>
    <row r="4" spans="1:35" s="26" customFormat="1" ht="25.5" customHeight="1" x14ac:dyDescent="0.25">
      <c r="A4" s="24"/>
      <c r="B4" s="24" t="s">
        <v>55</v>
      </c>
      <c r="C4" s="24"/>
      <c r="D4" s="24" t="s">
        <v>10</v>
      </c>
      <c r="E4" s="24"/>
      <c r="F4" s="24" t="s">
        <v>56</v>
      </c>
      <c r="G4" s="24"/>
      <c r="H4" s="24" t="s">
        <v>57</v>
      </c>
      <c r="I4" s="24"/>
      <c r="J4" s="24" t="s">
        <v>58</v>
      </c>
      <c r="K4" s="24"/>
      <c r="L4" s="24" t="s">
        <v>59</v>
      </c>
      <c r="M4" s="25"/>
      <c r="N4" s="25"/>
      <c r="O4" s="25"/>
      <c r="P4" s="25"/>
      <c r="Q4" s="25"/>
      <c r="R4" s="25"/>
      <c r="S4" s="25"/>
      <c r="T4" s="25"/>
      <c r="U4" s="25"/>
      <c r="V4" s="25"/>
      <c r="W4" s="25"/>
      <c r="X4" s="25"/>
      <c r="Y4" s="25"/>
      <c r="Z4" s="25"/>
      <c r="AA4" s="25"/>
      <c r="AB4" s="25"/>
      <c r="AC4" s="25"/>
      <c r="AD4" s="25"/>
      <c r="AE4" s="25"/>
      <c r="AF4" s="25"/>
      <c r="AG4" s="25"/>
      <c r="AH4" s="25"/>
      <c r="AI4" s="25"/>
    </row>
    <row r="5" spans="1:35" s="1" customFormat="1" ht="69.95" customHeight="1" x14ac:dyDescent="0.2">
      <c r="A5" s="27"/>
      <c r="B5" s="22"/>
      <c r="C5" s="22"/>
      <c r="D5" s="22"/>
      <c r="E5" s="22"/>
      <c r="F5" s="22"/>
      <c r="G5" s="22"/>
      <c r="H5" s="22"/>
      <c r="I5" s="22"/>
      <c r="J5" s="22"/>
      <c r="K5" s="22"/>
      <c r="L5" s="23"/>
      <c r="M5" s="23"/>
      <c r="N5" s="23"/>
      <c r="O5" s="23"/>
      <c r="P5" s="23"/>
      <c r="Q5" s="23"/>
      <c r="R5" s="23"/>
      <c r="S5" s="23"/>
      <c r="T5" s="23"/>
      <c r="U5" s="23"/>
      <c r="V5" s="23"/>
      <c r="W5" s="23"/>
      <c r="X5" s="23"/>
      <c r="Y5" s="23"/>
      <c r="Z5" s="23"/>
      <c r="AA5" s="23"/>
      <c r="AB5" s="23"/>
      <c r="AC5" s="23"/>
      <c r="AD5" s="23"/>
      <c r="AE5" s="23"/>
      <c r="AF5" s="23"/>
      <c r="AG5" s="23"/>
      <c r="AH5" s="23"/>
      <c r="AI5" s="23"/>
    </row>
    <row r="6" spans="1:35" s="26" customFormat="1" ht="25.5" customHeight="1" x14ac:dyDescent="0.2">
      <c r="A6" s="24"/>
      <c r="B6" s="28" t="s">
        <v>60</v>
      </c>
      <c r="C6" s="24"/>
      <c r="D6" s="24" t="s">
        <v>100</v>
      </c>
      <c r="E6" s="24"/>
      <c r="F6" s="24" t="s">
        <v>61</v>
      </c>
      <c r="G6" s="24"/>
      <c r="H6" s="24" t="s">
        <v>62</v>
      </c>
      <c r="I6" s="24"/>
      <c r="J6" s="24" t="s">
        <v>63</v>
      </c>
      <c r="K6" s="24"/>
      <c r="L6" s="24" t="s">
        <v>16</v>
      </c>
      <c r="M6" s="25"/>
      <c r="N6" s="25"/>
      <c r="O6" s="25"/>
      <c r="P6" s="25"/>
      <c r="Q6" s="25"/>
      <c r="R6" s="25"/>
      <c r="S6" s="25"/>
      <c r="T6" s="25"/>
      <c r="U6" s="25"/>
      <c r="V6" s="25"/>
      <c r="W6" s="25"/>
      <c r="X6" s="25"/>
      <c r="Y6" s="25"/>
      <c r="Z6" s="25"/>
      <c r="AA6" s="25"/>
      <c r="AB6" s="25"/>
      <c r="AC6" s="25"/>
      <c r="AD6" s="25"/>
      <c r="AE6" s="25"/>
      <c r="AF6" s="25"/>
      <c r="AG6" s="25"/>
      <c r="AH6" s="25"/>
      <c r="AI6" s="25"/>
    </row>
    <row r="7" spans="1:35" s="1" customFormat="1" ht="69.95" customHeight="1" x14ac:dyDescent="0.2">
      <c r="A7" s="22"/>
      <c r="B7" s="22"/>
      <c r="C7" s="22"/>
      <c r="D7" s="22"/>
      <c r="E7" s="22"/>
      <c r="F7" s="22"/>
      <c r="G7" s="22"/>
      <c r="H7" s="22"/>
      <c r="I7" s="22"/>
      <c r="J7" s="22"/>
      <c r="K7" s="22"/>
      <c r="L7" s="23"/>
      <c r="M7" s="23"/>
      <c r="N7" s="23"/>
      <c r="O7" s="23"/>
      <c r="P7" s="23"/>
      <c r="Q7" s="23"/>
      <c r="R7" s="23"/>
      <c r="S7" s="23"/>
      <c r="T7" s="23"/>
      <c r="U7" s="23"/>
      <c r="V7" s="23"/>
      <c r="W7" s="23"/>
      <c r="X7" s="23"/>
      <c r="Y7" s="23"/>
      <c r="Z7" s="23"/>
      <c r="AA7" s="23"/>
      <c r="AB7" s="23"/>
      <c r="AC7" s="23"/>
      <c r="AD7" s="23"/>
      <c r="AE7" s="23"/>
      <c r="AF7" s="23"/>
      <c r="AG7" s="23"/>
      <c r="AH7" s="23"/>
      <c r="AI7" s="23"/>
    </row>
    <row r="8" spans="1:35" s="26" customFormat="1" ht="21" x14ac:dyDescent="0.25">
      <c r="A8" s="25"/>
      <c r="B8" s="24" t="s">
        <v>64</v>
      </c>
      <c r="C8" s="24"/>
      <c r="D8" s="24" t="s">
        <v>65</v>
      </c>
      <c r="E8" s="24"/>
      <c r="F8" s="24" t="s">
        <v>66</v>
      </c>
      <c r="G8" s="24"/>
      <c r="H8" s="24" t="s">
        <v>67</v>
      </c>
      <c r="I8" s="24"/>
      <c r="J8" s="24"/>
      <c r="K8" s="24"/>
      <c r="L8" s="25"/>
      <c r="M8" s="25"/>
      <c r="N8" s="25"/>
      <c r="O8" s="25"/>
      <c r="P8" s="25"/>
      <c r="Q8" s="25"/>
      <c r="R8" s="25"/>
      <c r="S8" s="25"/>
      <c r="T8" s="25"/>
      <c r="U8" s="25"/>
      <c r="V8" s="25"/>
      <c r="W8" s="25"/>
      <c r="X8" s="25"/>
      <c r="Y8" s="25"/>
      <c r="Z8" s="25"/>
      <c r="AA8" s="25"/>
      <c r="AB8" s="25"/>
      <c r="AC8" s="25"/>
      <c r="AD8" s="25"/>
      <c r="AE8" s="25"/>
      <c r="AF8" s="25"/>
      <c r="AG8" s="25"/>
      <c r="AH8" s="25"/>
      <c r="AI8" s="25"/>
    </row>
    <row r="9" spans="1:35" ht="69.95" customHeight="1" x14ac:dyDescent="0.25">
      <c r="A9" s="21"/>
      <c r="B9" s="38" t="s">
        <v>125</v>
      </c>
      <c r="C9" s="38"/>
      <c r="D9" s="38"/>
      <c r="E9" s="38"/>
      <c r="F9" s="38"/>
      <c r="G9" s="38"/>
      <c r="H9" s="38"/>
      <c r="I9" s="38"/>
      <c r="J9" s="38"/>
      <c r="K9" s="38"/>
      <c r="L9" s="38"/>
      <c r="M9" s="38"/>
      <c r="N9" s="21"/>
      <c r="O9" s="21"/>
      <c r="P9" s="21"/>
      <c r="Q9" s="21"/>
      <c r="R9" s="21"/>
      <c r="S9" s="21"/>
      <c r="T9" s="21"/>
      <c r="U9" s="21"/>
      <c r="V9" s="21"/>
      <c r="W9" s="21"/>
      <c r="X9" s="21"/>
      <c r="Y9" s="21"/>
      <c r="Z9" s="21"/>
      <c r="AA9" s="21"/>
      <c r="AB9" s="21"/>
      <c r="AC9" s="21"/>
      <c r="AD9" s="21"/>
      <c r="AE9" s="21"/>
      <c r="AF9" s="21"/>
      <c r="AG9" s="21"/>
      <c r="AH9" s="21"/>
      <c r="AI9" s="21"/>
    </row>
    <row r="10" spans="1:35" s="30" customFormat="1" ht="25.5" customHeight="1" x14ac:dyDescent="0.2">
      <c r="A10" s="29"/>
      <c r="B10" s="21"/>
      <c r="C10" s="29"/>
      <c r="D10" s="37"/>
      <c r="E10" s="29"/>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row>
    <row r="11" spans="1:35" ht="12.75" customHeight="1" x14ac:dyDescent="0.2">
      <c r="A11" s="21"/>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row>
    <row r="12" spans="1:35" ht="12.75" customHeight="1" x14ac:dyDescent="0.2">
      <c r="A12" s="21"/>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row>
    <row r="13" spans="1:35" ht="12.75" customHeight="1" x14ac:dyDescent="0.2">
      <c r="A13" s="21"/>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row>
    <row r="14" spans="1:35" ht="12.75" customHeight="1" x14ac:dyDescent="0.2">
      <c r="A14" s="21"/>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row>
    <row r="15" spans="1:35" ht="12.75" customHeight="1" x14ac:dyDescent="0.2">
      <c r="A15" s="21"/>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row>
    <row r="16" spans="1:35" ht="12.75" customHeight="1" x14ac:dyDescent="0.2">
      <c r="A16" s="21"/>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row>
    <row r="17" spans="1:35" ht="12.75" customHeight="1" x14ac:dyDescent="0.2">
      <c r="A17" s="21"/>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row>
    <row r="18" spans="1:35" ht="12.75" customHeight="1" x14ac:dyDescent="0.2">
      <c r="A18" s="21"/>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row>
    <row r="19" spans="1:35" s="31" customFormat="1" ht="12.75" customHeight="1" x14ac:dyDescent="0.2">
      <c r="A19" s="20"/>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c r="AG19" s="20"/>
      <c r="AH19" s="20"/>
      <c r="AI19" s="20"/>
    </row>
    <row r="20" spans="1:35" s="31" customFormat="1" ht="12.75" customHeight="1" x14ac:dyDescent="0.2">
      <c r="A20" s="20"/>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c r="AG20" s="20"/>
      <c r="AH20" s="20"/>
      <c r="AI20" s="20"/>
    </row>
    <row r="21" spans="1:35" ht="12.75" customHeight="1" x14ac:dyDescent="0.2">
      <c r="A21" s="21"/>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row>
    <row r="22" spans="1:35" ht="12.75" customHeight="1" x14ac:dyDescent="0.2">
      <c r="A22" s="21"/>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row>
    <row r="23" spans="1:35" ht="12.75" customHeight="1" x14ac:dyDescent="0.2">
      <c r="A23" s="21"/>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row>
    <row r="24" spans="1:35" ht="12.75" customHeight="1" x14ac:dyDescent="0.2">
      <c r="A24" s="21"/>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row>
    <row r="25" spans="1:35" ht="12.75" customHeight="1" x14ac:dyDescent="0.2">
      <c r="A25" s="21"/>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row>
    <row r="26" spans="1:35" ht="12.75" customHeight="1" x14ac:dyDescent="0.2">
      <c r="A26" s="21"/>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row>
    <row r="27" spans="1:35" x14ac:dyDescent="0.2">
      <c r="A27" s="21"/>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row>
    <row r="28" spans="1:35" x14ac:dyDescent="0.2">
      <c r="A28" s="21"/>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row>
    <row r="29" spans="1:35" x14ac:dyDescent="0.2">
      <c r="A29" s="21"/>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row>
    <row r="30" spans="1:35" x14ac:dyDescent="0.2">
      <c r="A30" s="21"/>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row>
    <row r="31" spans="1:35" x14ac:dyDescent="0.2">
      <c r="A31" s="21"/>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row>
    <row r="32" spans="1:35" x14ac:dyDescent="0.2">
      <c r="A32" s="21"/>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row>
    <row r="33" spans="1:35" x14ac:dyDescent="0.2">
      <c r="A33" s="21"/>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row>
    <row r="34" spans="1:35" x14ac:dyDescent="0.2">
      <c r="A34" s="21"/>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row>
    <row r="35" spans="1:35" x14ac:dyDescent="0.2">
      <c r="A35" s="21"/>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row>
    <row r="36" spans="1:35" x14ac:dyDescent="0.2">
      <c r="A36" s="21"/>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row>
    <row r="37" spans="1:35" x14ac:dyDescent="0.2">
      <c r="A37" s="21"/>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row>
    <row r="38" spans="1:35" x14ac:dyDescent="0.2">
      <c r="A38" s="21"/>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row>
    <row r="39" spans="1:35" x14ac:dyDescent="0.2">
      <c r="A39" s="21"/>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row>
    <row r="40" spans="1:35" x14ac:dyDescent="0.2">
      <c r="A40" s="21"/>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row>
    <row r="41" spans="1:35" x14ac:dyDescent="0.2">
      <c r="A41" s="21"/>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row>
    <row r="42" spans="1:35" x14ac:dyDescent="0.2">
      <c r="A42" s="21"/>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row>
    <row r="43" spans="1:35" x14ac:dyDescent="0.2">
      <c r="A43" s="21"/>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row>
    <row r="44" spans="1:35" x14ac:dyDescent="0.2">
      <c r="A44" s="21"/>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row>
    <row r="45" spans="1:35" x14ac:dyDescent="0.2">
      <c r="A45" s="21"/>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row>
    <row r="46" spans="1:35" x14ac:dyDescent="0.2">
      <c r="A46" s="21"/>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row>
    <row r="47" spans="1:35" x14ac:dyDescent="0.2">
      <c r="A47" s="21"/>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row>
    <row r="48" spans="1:35" x14ac:dyDescent="0.2">
      <c r="A48" s="21"/>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row>
    <row r="49" spans="1:35" x14ac:dyDescent="0.2">
      <c r="A49" s="21"/>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row>
    <row r="50" spans="1:35" x14ac:dyDescent="0.2">
      <c r="A50" s="21"/>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row>
    <row r="51" spans="1:35" x14ac:dyDescent="0.2">
      <c r="A51" s="21"/>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row>
    <row r="52" spans="1:35" x14ac:dyDescent="0.2">
      <c r="A52" s="21"/>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row>
    <row r="53" spans="1:35" x14ac:dyDescent="0.2">
      <c r="A53" s="21"/>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row>
    <row r="54" spans="1:35" x14ac:dyDescent="0.2">
      <c r="A54" s="21"/>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row>
    <row r="55" spans="1:35" x14ac:dyDescent="0.2">
      <c r="A55" s="21"/>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row>
    <row r="56" spans="1:35" x14ac:dyDescent="0.2">
      <c r="A56" s="21"/>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row>
    <row r="57" spans="1:35" x14ac:dyDescent="0.2">
      <c r="A57" s="21"/>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row>
    <row r="58" spans="1:35" x14ac:dyDescent="0.2">
      <c r="A58" s="2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row>
    <row r="59" spans="1:35" x14ac:dyDescent="0.2">
      <c r="A59" s="21"/>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row>
    <row r="60" spans="1:35" x14ac:dyDescent="0.2">
      <c r="A60" s="21"/>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row>
    <row r="61" spans="1:35" x14ac:dyDescent="0.2">
      <c r="A61" s="21"/>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row>
    <row r="62" spans="1:35" x14ac:dyDescent="0.2">
      <c r="A62" s="21"/>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row>
    <row r="63" spans="1:35" x14ac:dyDescent="0.2">
      <c r="A63" s="21"/>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row>
    <row r="64" spans="1:35" x14ac:dyDescent="0.2">
      <c r="A64" s="21"/>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row>
    <row r="65" spans="1:35" x14ac:dyDescent="0.2">
      <c r="A65" s="21"/>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row>
    <row r="66" spans="1:35" x14ac:dyDescent="0.2">
      <c r="A66" s="21"/>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row>
    <row r="67" spans="1:35" x14ac:dyDescent="0.2">
      <c r="A67" s="21"/>
      <c r="B67" s="21"/>
      <c r="C67" s="21"/>
      <c r="D67" s="21"/>
      <c r="E67" s="21"/>
      <c r="F67" s="21"/>
      <c r="G67" s="21"/>
      <c r="H67" s="21"/>
      <c r="I67" s="21"/>
      <c r="J67" s="21"/>
      <c r="K67" s="21"/>
      <c r="L67" s="21"/>
      <c r="M67" s="21"/>
      <c r="N67" s="21"/>
      <c r="O67" s="21"/>
      <c r="P67" s="21"/>
      <c r="Q67" s="21"/>
      <c r="R67" s="21"/>
      <c r="S67" s="21"/>
      <c r="T67" s="21"/>
      <c r="U67" s="21"/>
      <c r="V67" s="21"/>
      <c r="W67" s="21"/>
      <c r="X67" s="21"/>
      <c r="Y67" s="21"/>
      <c r="Z67" s="21"/>
      <c r="AA67" s="21"/>
      <c r="AB67" s="21"/>
      <c r="AC67" s="21"/>
      <c r="AD67" s="21"/>
      <c r="AE67" s="21"/>
      <c r="AF67" s="21"/>
      <c r="AG67" s="21"/>
      <c r="AH67" s="21"/>
      <c r="AI67" s="21"/>
    </row>
    <row r="68" spans="1:35" x14ac:dyDescent="0.2">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c r="AF68" s="21"/>
      <c r="AG68" s="21"/>
      <c r="AH68" s="21"/>
      <c r="AI68" s="21"/>
    </row>
    <row r="69" spans="1:35" x14ac:dyDescent="0.2">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row>
    <row r="70" spans="1:35" x14ac:dyDescent="0.2">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c r="AF70" s="21"/>
      <c r="AG70" s="21"/>
      <c r="AH70" s="21"/>
      <c r="AI70" s="21"/>
    </row>
    <row r="71" spans="1:35" x14ac:dyDescent="0.2">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c r="AF71" s="21"/>
      <c r="AG71" s="21"/>
      <c r="AH71" s="21"/>
      <c r="AI71" s="21"/>
    </row>
    <row r="72" spans="1:35" x14ac:dyDescent="0.2">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c r="AF72" s="21"/>
      <c r="AG72" s="21"/>
      <c r="AH72" s="21"/>
      <c r="AI72" s="21"/>
    </row>
    <row r="73" spans="1:35" x14ac:dyDescent="0.2">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row>
    <row r="74" spans="1:35" x14ac:dyDescent="0.2">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c r="AF74" s="21"/>
      <c r="AG74" s="21"/>
      <c r="AH74" s="21"/>
      <c r="AI74" s="21"/>
    </row>
    <row r="100" spans="1:1" x14ac:dyDescent="0.2">
      <c r="A100" s="4">
        <v>130</v>
      </c>
    </row>
    <row r="101" spans="1:1" x14ac:dyDescent="0.2">
      <c r="A101" s="4">
        <v>120</v>
      </c>
    </row>
    <row r="102" spans="1:1" x14ac:dyDescent="0.2">
      <c r="A102" s="4">
        <v>110</v>
      </c>
    </row>
    <row r="103" spans="1:1" x14ac:dyDescent="0.2">
      <c r="A103" s="4">
        <v>100</v>
      </c>
    </row>
    <row r="104" spans="1:1" x14ac:dyDescent="0.2">
      <c r="A104" s="4">
        <v>90</v>
      </c>
    </row>
    <row r="105" spans="1:1" x14ac:dyDescent="0.2">
      <c r="A105" s="4">
        <v>80</v>
      </c>
    </row>
    <row r="106" spans="1:1" x14ac:dyDescent="0.2">
      <c r="A106" s="4">
        <v>70</v>
      </c>
    </row>
    <row r="107" spans="1:1" x14ac:dyDescent="0.2">
      <c r="A107" s="4">
        <v>60</v>
      </c>
    </row>
    <row r="108" spans="1:1" x14ac:dyDescent="0.2">
      <c r="A108" s="4">
        <v>50</v>
      </c>
    </row>
    <row r="109" spans="1:1" x14ac:dyDescent="0.2">
      <c r="A109" s="4">
        <v>40</v>
      </c>
    </row>
  </sheetData>
  <sheetProtection sheet="1" objects="1" scenarios="1" selectLockedCells="1"/>
  <mergeCells count="1">
    <mergeCell ref="B9:M9"/>
  </mergeCells>
  <pageMargins left="0.25" right="0.25" top="1.5" bottom="0.5" header="0.25" footer="0.25"/>
  <pageSetup scale="88" fitToHeight="0" orientation="landscape" horizontalDpi="300" verticalDpi="300" r:id="rId1"/>
  <headerFooter alignWithMargins="0">
    <oddHeader>&amp;C
     &amp;"Times New Roman,Bold"&amp;24SourceMobile&amp;20&amp;XSM&amp;"Arial,Regular"&amp;10&amp;X
&amp;"Verdana,Bold"&amp;18Reporting Suite&amp;R&amp;G&amp;L&amp;"Verdana,Bold"&amp;14
Slattery-Skanska
Wireless Review
April 2004</oddHeader>
    <oddFooter>&amp;LPrepared by Mobile Enterprises, Inc.&amp;C&amp;D&amp;RPage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1793" r:id="rId5" name="Button 1">
              <controlPr defaultSize="0" print="0" autoFill="0" autoPict="0" macro="[0]!btn_Full_Screen_Off">
                <anchor>
                  <from>
                    <xdr:col>1</xdr:col>
                    <xdr:colOff>809625</xdr:colOff>
                    <xdr:row>0</xdr:row>
                    <xdr:rowOff>1219200</xdr:rowOff>
                  </from>
                  <to>
                    <xdr:col>3</xdr:col>
                    <xdr:colOff>219075</xdr:colOff>
                    <xdr:row>0</xdr:row>
                    <xdr:rowOff>1381125</xdr:rowOff>
                  </to>
                </anchor>
              </controlPr>
            </control>
          </mc:Choice>
        </mc:AlternateContent>
        <mc:AlternateContent xmlns:mc="http://schemas.openxmlformats.org/markup-compatibility/2006">
          <mc:Choice Requires="x14">
            <control shapeId="161794" r:id="rId6" name="Button 2">
              <controlPr defaultSize="0" print="0" autoFill="0" autoPict="0" macro="[0]!btn_Full_Screen_On">
                <anchor>
                  <from>
                    <xdr:col>0</xdr:col>
                    <xdr:colOff>123825</xdr:colOff>
                    <xdr:row>0</xdr:row>
                    <xdr:rowOff>1219200</xdr:rowOff>
                  </from>
                  <to>
                    <xdr:col>1</xdr:col>
                    <xdr:colOff>790575</xdr:colOff>
                    <xdr:row>0</xdr:row>
                    <xdr:rowOff>1381125</xdr:rowOff>
                  </to>
                </anchor>
              </controlPr>
            </control>
          </mc:Choice>
        </mc:AlternateContent>
        <mc:AlternateContent xmlns:mc="http://schemas.openxmlformats.org/markup-compatibility/2006">
          <mc:Choice Requires="x14">
            <control shapeId="161795" r:id="rId7" name="Button 3">
              <controlPr defaultSize="0" print="0" autoFill="0" autoPict="0" macro="[0]!btn_Delete_Chart_Buttons">
                <anchor moveWithCells="1" sizeWithCells="1">
                  <from>
                    <xdr:col>9</xdr:col>
                    <xdr:colOff>161925</xdr:colOff>
                    <xdr:row>6</xdr:row>
                    <xdr:rowOff>523875</xdr:rowOff>
                  </from>
                  <to>
                    <xdr:col>9</xdr:col>
                    <xdr:colOff>1323975</xdr:colOff>
                    <xdr:row>6</xdr:row>
                    <xdr:rowOff>762000</xdr:rowOff>
                  </to>
                </anchor>
              </controlPr>
            </control>
          </mc:Choice>
        </mc:AlternateContent>
        <mc:AlternateContent xmlns:mc="http://schemas.openxmlformats.org/markup-compatibility/2006">
          <mc:Choice Requires="x14">
            <control shapeId="161796" r:id="rId8" name="Button 4">
              <controlPr defaultSize="0" print="0" autoFill="0" autoPict="0" macro="[0]!btn_Add_Chart_Buttons">
                <anchor moveWithCells="1" sizeWithCells="1">
                  <from>
                    <xdr:col>10</xdr:col>
                    <xdr:colOff>85725</xdr:colOff>
                    <xdr:row>6</xdr:row>
                    <xdr:rowOff>523875</xdr:rowOff>
                  </from>
                  <to>
                    <xdr:col>11</xdr:col>
                    <xdr:colOff>1066800</xdr:colOff>
                    <xdr:row>6</xdr:row>
                    <xdr:rowOff>762000</xdr:rowOff>
                  </to>
                </anchor>
              </controlPr>
            </control>
          </mc:Choice>
        </mc:AlternateContent>
        <mc:AlternateContent xmlns:mc="http://schemas.openxmlformats.org/markup-compatibility/2006">
          <mc:Choice Requires="x14">
            <control shapeId="161797" r:id="rId9" name="Button 5">
              <controlPr defaultSize="0" print="0" autoFill="0" autoPict="0" macro="[0]!btn_Delete_Chart_Headings">
                <anchor moveWithCells="1" sizeWithCells="1">
                  <from>
                    <xdr:col>9</xdr:col>
                    <xdr:colOff>161925</xdr:colOff>
                    <xdr:row>6</xdr:row>
                    <xdr:rowOff>238125</xdr:rowOff>
                  </from>
                  <to>
                    <xdr:col>9</xdr:col>
                    <xdr:colOff>1323975</xdr:colOff>
                    <xdr:row>6</xdr:row>
                    <xdr:rowOff>476250</xdr:rowOff>
                  </to>
                </anchor>
              </controlPr>
            </control>
          </mc:Choice>
        </mc:AlternateContent>
        <mc:AlternateContent xmlns:mc="http://schemas.openxmlformats.org/markup-compatibility/2006">
          <mc:Choice Requires="x14">
            <control shapeId="161798" r:id="rId10" name="Button 6">
              <controlPr defaultSize="0" print="0" autoFill="0" autoPict="0" macro="[0]!btn_Add_Chart_Headings">
                <anchor moveWithCells="1" sizeWithCells="1">
                  <from>
                    <xdr:col>10</xdr:col>
                    <xdr:colOff>85725</xdr:colOff>
                    <xdr:row>6</xdr:row>
                    <xdr:rowOff>238125</xdr:rowOff>
                  </from>
                  <to>
                    <xdr:col>11</xdr:col>
                    <xdr:colOff>1076325</xdr:colOff>
                    <xdr:row>6</xdr:row>
                    <xdr:rowOff>476250</xdr:rowOff>
                  </to>
                </anchor>
              </controlPr>
            </control>
          </mc:Choice>
        </mc:AlternateContent>
        <mc:AlternateContent xmlns:mc="http://schemas.openxmlformats.org/markup-compatibility/2006">
          <mc:Choice Requires="x14">
            <control shapeId="161799" r:id="rId11" name="Button 7">
              <controlPr defaultSize="0" print="0" autoFill="0" autoPict="0" macro="[0]!btn_Delete_Chart_Data">
                <anchor moveWithCells="1" sizeWithCells="1">
                  <from>
                    <xdr:col>9</xdr:col>
                    <xdr:colOff>161925</xdr:colOff>
                    <xdr:row>6</xdr:row>
                    <xdr:rowOff>819150</xdr:rowOff>
                  </from>
                  <to>
                    <xdr:col>9</xdr:col>
                    <xdr:colOff>1323975</xdr:colOff>
                    <xdr:row>7</xdr:row>
                    <xdr:rowOff>171450</xdr:rowOff>
                  </to>
                </anchor>
              </controlPr>
            </control>
          </mc:Choice>
        </mc:AlternateContent>
        <mc:AlternateContent xmlns:mc="http://schemas.openxmlformats.org/markup-compatibility/2006">
          <mc:Choice Requires="x14">
            <control shapeId="161800" r:id="rId12" name="Button 8">
              <controlPr defaultSize="0" print="0" autoFill="0" autoPict="0" macro="[0]!btn_Add_Chart_Data">
                <anchor moveWithCells="1" sizeWithCells="1">
                  <from>
                    <xdr:col>10</xdr:col>
                    <xdr:colOff>85725</xdr:colOff>
                    <xdr:row>6</xdr:row>
                    <xdr:rowOff>819150</xdr:rowOff>
                  </from>
                  <to>
                    <xdr:col>11</xdr:col>
                    <xdr:colOff>1085850</xdr:colOff>
                    <xdr:row>7</xdr:row>
                    <xdr:rowOff>171450</xdr:rowOff>
                  </to>
                </anchor>
              </controlPr>
            </control>
          </mc:Choice>
        </mc:AlternateContent>
        <mc:AlternateContent xmlns:mc="http://schemas.openxmlformats.org/markup-compatibility/2006">
          <mc:Choice Requires="x14">
            <control shapeId="161803" r:id="rId13" name="Button 11">
              <controlPr defaultSize="0" print="0" autoFill="0" autoPict="0" macro="[0]!btn_Tear_It_Down">
                <anchor moveWithCells="1" sizeWithCells="1">
                  <from>
                    <xdr:col>12</xdr:col>
                    <xdr:colOff>85725</xdr:colOff>
                    <xdr:row>6</xdr:row>
                    <xdr:rowOff>0</xdr:rowOff>
                  </from>
                  <to>
                    <xdr:col>13</xdr:col>
                    <xdr:colOff>276225</xdr:colOff>
                    <xdr:row>6</xdr:row>
                    <xdr:rowOff>342900</xdr:rowOff>
                  </to>
                </anchor>
              </controlPr>
            </control>
          </mc:Choice>
        </mc:AlternateContent>
        <mc:AlternateContent xmlns:mc="http://schemas.openxmlformats.org/markup-compatibility/2006">
          <mc:Choice Requires="x14">
            <control shapeId="161804" r:id="rId14" name="Button 12">
              <controlPr defaultSize="0" print="0" autoFill="0" autoPict="0" macro="[0]!btn_Build_It_Back_Again">
                <anchor moveWithCells="1" sizeWithCells="1">
                  <from>
                    <xdr:col>12</xdr:col>
                    <xdr:colOff>85725</xdr:colOff>
                    <xdr:row>6</xdr:row>
                    <xdr:rowOff>428625</xdr:rowOff>
                  </from>
                  <to>
                    <xdr:col>13</xdr:col>
                    <xdr:colOff>276225</xdr:colOff>
                    <xdr:row>7</xdr:row>
                    <xdr:rowOff>257175</xdr:rowOff>
                  </to>
                </anchor>
              </controlPr>
            </control>
          </mc:Choice>
        </mc:AlternateContent>
        <mc:AlternateContent xmlns:mc="http://schemas.openxmlformats.org/markup-compatibility/2006">
          <mc:Choice Requires="x14">
            <control shapeId="161805" r:id="rId15" name="Button 13">
              <controlPr defaultSize="0" print="0" autoFill="0" autoPict="0" macro="[0]!btn_Chart_Tour">
                <anchor moveWithCells="1" sizeWithCells="1">
                  <from>
                    <xdr:col>9</xdr:col>
                    <xdr:colOff>933450</xdr:colOff>
                    <xdr:row>0</xdr:row>
                    <xdr:rowOff>1095375</xdr:rowOff>
                  </from>
                  <to>
                    <xdr:col>11</xdr:col>
                    <xdr:colOff>609600</xdr:colOff>
                    <xdr:row>0</xdr:row>
                    <xdr:rowOff>1381125</xdr:rowOff>
                  </to>
                </anchor>
              </controlPr>
            </control>
          </mc:Choice>
        </mc:AlternateContent>
        <mc:AlternateContent xmlns:mc="http://schemas.openxmlformats.org/markup-compatibility/2006">
          <mc:Choice Requires="x14">
            <control shapeId="161811" r:id="rId16" name="Button 19">
              <controlPr defaultSize="0" print="0" autoFill="0" autoPict="0" macro="[0]!btn_Global_Zoom">
                <anchor>
                  <from>
                    <xdr:col>3</xdr:col>
                    <xdr:colOff>238125</xdr:colOff>
                    <xdr:row>0</xdr:row>
                    <xdr:rowOff>1219200</xdr:rowOff>
                  </from>
                  <to>
                    <xdr:col>3</xdr:col>
                    <xdr:colOff>1247775</xdr:colOff>
                    <xdr:row>0</xdr:row>
                    <xdr:rowOff>1381125</xdr:rowOff>
                  </to>
                </anchor>
              </controlPr>
            </control>
          </mc:Choice>
        </mc:AlternateContent>
        <mc:AlternateContent xmlns:mc="http://schemas.openxmlformats.org/markup-compatibility/2006">
          <mc:Choice Requires="x14">
            <control shapeId="161812" r:id="rId17" name="Button 20">
              <controlPr defaultSize="0" print="0" autoFill="0" autoPict="0" macro="[0]!btn_Hide_Ribbon">
                <anchor moveWithCells="1" sizeWithCells="1">
                  <from>
                    <xdr:col>12</xdr:col>
                    <xdr:colOff>85725</xdr:colOff>
                    <xdr:row>4</xdr:row>
                    <xdr:rowOff>352425</xdr:rowOff>
                  </from>
                  <to>
                    <xdr:col>13</xdr:col>
                    <xdr:colOff>276225</xdr:colOff>
                    <xdr:row>4</xdr:row>
                    <xdr:rowOff>581025</xdr:rowOff>
                  </to>
                </anchor>
              </controlPr>
            </control>
          </mc:Choice>
        </mc:AlternateContent>
        <mc:AlternateContent xmlns:mc="http://schemas.openxmlformats.org/markup-compatibility/2006">
          <mc:Choice Requires="x14">
            <control shapeId="161813" r:id="rId18" name="Button 21">
              <controlPr defaultSize="0" print="0" autoFill="0" autoPict="0" macro="[0]!btn_Unhide_Ribbon">
                <anchor moveWithCells="1" sizeWithCells="1">
                  <from>
                    <xdr:col>12</xdr:col>
                    <xdr:colOff>85725</xdr:colOff>
                    <xdr:row>4</xdr:row>
                    <xdr:rowOff>590550</xdr:rowOff>
                  </from>
                  <to>
                    <xdr:col>13</xdr:col>
                    <xdr:colOff>276225</xdr:colOff>
                    <xdr:row>4</xdr:row>
                    <xdr:rowOff>819150</xdr:rowOff>
                  </to>
                </anchor>
              </controlPr>
            </control>
          </mc:Choice>
        </mc:AlternateContent>
        <mc:AlternateContent xmlns:mc="http://schemas.openxmlformats.org/markup-compatibility/2006">
          <mc:Choice Requires="x14">
            <control shapeId="161815" r:id="rId19" name="Button 23">
              <controlPr defaultSize="0" print="0" autoFill="0" autoPict="0" macro="[0]!btn_Resize_Window">
                <anchor moveWithCells="1" sizeWithCells="1">
                  <from>
                    <xdr:col>12</xdr:col>
                    <xdr:colOff>85725</xdr:colOff>
                    <xdr:row>3</xdr:row>
                    <xdr:rowOff>104775</xdr:rowOff>
                  </from>
                  <to>
                    <xdr:col>13</xdr:col>
                    <xdr:colOff>276225</xdr:colOff>
                    <xdr:row>4</xdr:row>
                    <xdr:rowOff>238125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Charts</vt:lpstr>
      </vt:variant>
      <vt:variant>
        <vt:i4>16</vt:i4>
      </vt:variant>
    </vt:vector>
  </HeadingPairs>
  <TitlesOfParts>
    <vt:vector size="20" baseType="lpstr">
      <vt:lpstr>DataSource_0</vt:lpstr>
      <vt:lpstr>DataSource_1</vt:lpstr>
      <vt:lpstr>Sheet1</vt:lpstr>
      <vt:lpstr>Chart_Home</vt:lpstr>
      <vt:lpstr>Cumulative_Savings_vs_Spend</vt:lpstr>
      <vt:lpstr>Net_Cumulative_Savings</vt:lpstr>
      <vt:lpstr>Wireless_Spend_and_Minutes</vt:lpstr>
      <vt:lpstr>YTD_Trending_Charges</vt:lpstr>
      <vt:lpstr>Monthly_Savings_vs_Baseline</vt:lpstr>
      <vt:lpstr>Wireless_Spend_and_Num_Devices</vt:lpstr>
      <vt:lpstr>NetSavings_vs_SourceMobileCost</vt:lpstr>
      <vt:lpstr>Total_Spend_and_Minutes</vt:lpstr>
      <vt:lpstr>MonthlySpend_vs_CumlSavings</vt:lpstr>
      <vt:lpstr>Monthly_Mins_Avg_Cost_perPhone</vt:lpstr>
      <vt:lpstr>Usage_Cost_Per_Minute</vt:lpstr>
      <vt:lpstr>Usage_Overview</vt:lpstr>
      <vt:lpstr>Monthly_Minutes_and_CPM</vt:lpstr>
      <vt:lpstr>Savings_vs_Minutes_of_Use</vt:lpstr>
      <vt:lpstr>Net_Savings_Mins_of_Use</vt:lpstr>
      <vt:lpstr>Cost_Per_Minute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Sweeny</dc:creator>
  <cp:lastModifiedBy>Richard Sweeny</cp:lastModifiedBy>
  <cp:lastPrinted>2023-06-23T00:56:03Z</cp:lastPrinted>
  <dcterms:created xsi:type="dcterms:W3CDTF">2023-05-27T01:21:41Z</dcterms:created>
  <dcterms:modified xsi:type="dcterms:W3CDTF">2023-06-25T19:35:53Z</dcterms:modified>
</cp:coreProperties>
</file>